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Jobs" sheetId="2" state="visible" r:id="rId2"/>
    <sheet xmlns:r="http://schemas.openxmlformats.org/officeDocument/2006/relationships" name="Counts" sheetId="3" state="visible" r:id="rId3"/>
    <sheet xmlns:r="http://schemas.openxmlformats.org/officeDocument/2006/relationships" name="Long text" sheetId="4" state="visible" r:id="rId4"/>
  </sheets>
  <definedNames>
    <definedName name="_xlnm._FilterDatabase" localSheetId="1" hidden="1">'Jobs'!$A$1:$R$1</definedName>
    <definedName name="_xlnm._FilterDatabase" localSheetId="2" hidden="1">'Counts'!$A$1:$C$19</definedName>
    <definedName name="_xlnm._FilterDatabase" localSheetId="3" hidden="1">'Long text'!$A$1:$E$1</definedName>
  </definedNames>
  <calcPr calcId="124519" fullCalcOnLoad="1"/>
</workbook>
</file>

<file path=xl/styles.xml><?xml version="1.0" encoding="utf-8"?>
<styleSheet xmlns="http://schemas.openxmlformats.org/spreadsheetml/2006/main">
  <numFmts count="1">
    <numFmt numFmtId="164" formatCode="yyyy-mm-dd"/>
  </numFmts>
  <fonts count="7">
    <font>
      <name val="Arial"/>
      <color rgb="00000000"/>
      <sz val="10"/>
    </font>
    <font>
      <name val="Arial"/>
      <b val="1"/>
      <color rgb="00FFFFFF"/>
      <sz val="10"/>
    </font>
    <font>
      <name val="Arial"/>
      <b val="1"/>
      <color rgb="001F3A5F"/>
      <sz val="14"/>
    </font>
    <font>
      <name val="Arial"/>
      <i val="1"/>
      <color rgb="00000000"/>
      <sz val="9"/>
    </font>
    <font>
      <name val="Arial"/>
      <b val="1"/>
      <color rgb="00000000"/>
      <sz val="10"/>
    </font>
    <font>
      <name val="Arial"/>
      <color rgb="001155CC"/>
      <sz val="10"/>
      <u val="single"/>
    </font>
    <font>
      <name val="Arial"/>
      <b val="1"/>
      <color rgb="001155CC"/>
      <sz val="10"/>
      <u val="single"/>
    </font>
  </fonts>
  <fills count="10">
    <fill>
      <patternFill/>
    </fill>
    <fill>
      <patternFill patternType="gray125"/>
    </fill>
    <fill>
      <patternFill patternType="solid">
        <fgColor rgb="001F3A5F"/>
        <bgColor rgb="001F3A5F"/>
      </patternFill>
    </fill>
    <fill>
      <patternFill patternType="solid">
        <fgColor rgb="00DDEFE0"/>
        <bgColor rgb="00DDEFE0"/>
      </patternFill>
    </fill>
    <fill>
      <patternFill patternType="solid">
        <fgColor rgb="00FFF1CC"/>
        <bgColor rgb="00FFF1CC"/>
      </patternFill>
    </fill>
    <fill>
      <patternFill patternType="solid">
        <fgColor rgb="00EEEEEE"/>
        <bgColor rgb="00EEEEEE"/>
      </patternFill>
    </fill>
    <fill>
      <patternFill patternType="solid">
        <fgColor rgb="00C6EFCE"/>
        <bgColor rgb="00C6EFCE"/>
      </patternFill>
    </fill>
    <fill>
      <patternFill patternType="solid">
        <fgColor rgb="00FFEB9C"/>
        <bgColor rgb="00FFEB9C"/>
      </patternFill>
    </fill>
    <fill>
      <patternFill patternType="solid">
        <fgColor rgb="00E7E6E6"/>
        <bgColor rgb="00E7E6E6"/>
      </patternFill>
    </fill>
    <fill>
      <patternFill patternType="solid">
        <fgColor rgb="00FFF9E6"/>
        <bgColor rgb="00FFF9E6"/>
      </patternFill>
    </fill>
  </fills>
  <borders count="3">
    <border>
      <left/>
      <right/>
      <top/>
      <bottom/>
      <diagonal/>
    </border>
    <border/>
    <border>
      <left style="thin">
        <color rgb="00BFC5CC"/>
      </left>
      <right style="thin">
        <color rgb="00BFC5CC"/>
      </right>
      <top style="thin">
        <color rgb="00BFC5CC"/>
      </top>
      <bottom style="thin">
        <color rgb="00BFC5CC"/>
      </bottom>
    </border>
  </borders>
  <cellStyleXfs count="183">
    <xf numFmtId="0" fontId="0" fillId="0" borderId="0"/>
    <xf numFmtId="49" fontId="1" fillId="2" borderId="1" applyAlignment="1">
      <alignment vertical="center" wrapText="1"/>
    </xf>
    <xf numFmtId="49" fontId="1" fillId="2" borderId="2" applyAlignment="1">
      <alignment vertical="center" wrapText="1"/>
    </xf>
    <xf numFmtId="49" fontId="2" fillId="0" borderId="1" applyAlignment="1">
      <alignment vertical="top"/>
    </xf>
    <xf numFmtId="49" fontId="3" fillId="0" borderId="1" applyAlignment="1">
      <alignment vertical="top"/>
    </xf>
    <xf numFmtId="49" fontId="0" fillId="0" borderId="1" applyAlignment="1">
      <alignment vertical="top" wrapText="1"/>
    </xf>
    <xf numFmtId="49" fontId="3" fillId="0" borderId="1"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164" fontId="0" fillId="0" borderId="2" applyAlignment="1">
      <alignment vertical="top"/>
    </xf>
    <xf numFmtId="164" fontId="0" fillId="3" borderId="2" applyAlignment="1">
      <alignment vertical="top"/>
    </xf>
    <xf numFmtId="164" fontId="0" fillId="4" borderId="2" applyAlignment="1">
      <alignment vertical="top"/>
    </xf>
    <xf numFmtId="164" fontId="0" fillId="5" borderId="2" applyAlignment="1">
      <alignment vertical="top"/>
    </xf>
    <xf numFmtId="164" fontId="0" fillId="6" borderId="2" applyAlignment="1">
      <alignment vertical="top"/>
    </xf>
    <xf numFmtId="164" fontId="0" fillId="7" borderId="2" applyAlignment="1">
      <alignment vertical="top"/>
    </xf>
    <xf numFmtId="164" fontId="0" fillId="8" borderId="2" applyAlignment="1">
      <alignment vertical="top"/>
    </xf>
    <xf numFmtId="164" fontId="0" fillId="9" borderId="2" applyAlignment="1">
      <alignment vertical="top"/>
    </xf>
    <xf numFmtId="164" fontId="4" fillId="0" borderId="2" applyAlignment="1">
      <alignment vertical="top"/>
    </xf>
    <xf numFmtId="164" fontId="4" fillId="3" borderId="2" applyAlignment="1">
      <alignment vertical="top"/>
    </xf>
    <xf numFmtId="164" fontId="4" fillId="4" borderId="2" applyAlignment="1">
      <alignment vertical="top"/>
    </xf>
    <xf numFmtId="164" fontId="4" fillId="5" borderId="2" applyAlignment="1">
      <alignment vertical="top"/>
    </xf>
    <xf numFmtId="164" fontId="4" fillId="6" borderId="2" applyAlignment="1">
      <alignment vertical="top"/>
    </xf>
    <xf numFmtId="164" fontId="4" fillId="7" borderId="2" applyAlignment="1">
      <alignment vertical="top"/>
    </xf>
    <xf numFmtId="164" fontId="4" fillId="8" borderId="2" applyAlignment="1">
      <alignment vertical="top"/>
    </xf>
    <xf numFmtId="164" fontId="4" fillId="9" borderId="2" applyAlignment="1">
      <alignment vertical="top"/>
    </xf>
    <xf numFmtId="1" fontId="0" fillId="0" borderId="2" applyAlignment="1">
      <alignment vertical="top"/>
    </xf>
    <xf numFmtId="1" fontId="0" fillId="3" borderId="2" applyAlignment="1">
      <alignment vertical="top"/>
    </xf>
    <xf numFmtId="1" fontId="0" fillId="4" borderId="2" applyAlignment="1">
      <alignment vertical="top"/>
    </xf>
    <xf numFmtId="1" fontId="0" fillId="5" borderId="2" applyAlignment="1">
      <alignment vertical="top"/>
    </xf>
    <xf numFmtId="1" fontId="0" fillId="6" borderId="2" applyAlignment="1">
      <alignment vertical="top"/>
    </xf>
    <xf numFmtId="1" fontId="0" fillId="7" borderId="2" applyAlignment="1">
      <alignment vertical="top"/>
    </xf>
    <xf numFmtId="1" fontId="0" fillId="8" borderId="2" applyAlignment="1">
      <alignment vertical="top"/>
    </xf>
    <xf numFmtId="1" fontId="0" fillId="9" borderId="2" applyAlignment="1">
      <alignment vertical="top"/>
    </xf>
    <xf numFmtId="1" fontId="4" fillId="0" borderId="2" applyAlignment="1">
      <alignment vertical="top"/>
    </xf>
    <xf numFmtId="1" fontId="4" fillId="3" borderId="2" applyAlignment="1">
      <alignment vertical="top"/>
    </xf>
    <xf numFmtId="1" fontId="4" fillId="4" borderId="2" applyAlignment="1">
      <alignment vertical="top"/>
    </xf>
    <xf numFmtId="1" fontId="4" fillId="5" borderId="2" applyAlignment="1">
      <alignment vertical="top"/>
    </xf>
    <xf numFmtId="1" fontId="4" fillId="6" borderId="2" applyAlignment="1">
      <alignment vertical="top"/>
    </xf>
    <xf numFmtId="1" fontId="4" fillId="7" borderId="2" applyAlignment="1">
      <alignment vertical="top"/>
    </xf>
    <xf numFmtId="1" fontId="4" fillId="8" borderId="2" applyAlignment="1">
      <alignment vertical="top"/>
    </xf>
    <xf numFmtId="1" fontId="4" fillId="9" borderId="2" applyAlignment="1">
      <alignment vertical="top"/>
    </xf>
    <xf numFmtId="9" fontId="0" fillId="0" borderId="2" applyAlignment="1">
      <alignment vertical="top"/>
    </xf>
    <xf numFmtId="9" fontId="0" fillId="3" borderId="2" applyAlignment="1">
      <alignment vertical="top"/>
    </xf>
    <xf numFmtId="9" fontId="0" fillId="4" borderId="2" applyAlignment="1">
      <alignment vertical="top"/>
    </xf>
    <xf numFmtId="9" fontId="0" fillId="5" borderId="2" applyAlignment="1">
      <alignment vertical="top"/>
    </xf>
    <xf numFmtId="9" fontId="0" fillId="6" borderId="2" applyAlignment="1">
      <alignment vertical="top"/>
    </xf>
    <xf numFmtId="9" fontId="0" fillId="7" borderId="2" applyAlignment="1">
      <alignment vertical="top"/>
    </xf>
    <xf numFmtId="9" fontId="0" fillId="8" borderId="2" applyAlignment="1">
      <alignment vertical="top"/>
    </xf>
    <xf numFmtId="9" fontId="0" fillId="9" borderId="2" applyAlignment="1">
      <alignment vertical="top"/>
    </xf>
    <xf numFmtId="9" fontId="4" fillId="0" borderId="2" applyAlignment="1">
      <alignment vertical="top"/>
    </xf>
    <xf numFmtId="9" fontId="4" fillId="3" borderId="2" applyAlignment="1">
      <alignment vertical="top"/>
    </xf>
    <xf numFmtId="9" fontId="4" fillId="4" borderId="2" applyAlignment="1">
      <alignment vertical="top"/>
    </xf>
    <xf numFmtId="9" fontId="4" fillId="5" borderId="2" applyAlignment="1">
      <alignment vertical="top"/>
    </xf>
    <xf numFmtId="9" fontId="4" fillId="6" borderId="2" applyAlignment="1">
      <alignment vertical="top"/>
    </xf>
    <xf numFmtId="9" fontId="4" fillId="7" borderId="2" applyAlignment="1">
      <alignment vertical="top"/>
    </xf>
    <xf numFmtId="9" fontId="4" fillId="8" borderId="2" applyAlignment="1">
      <alignment vertical="top"/>
    </xf>
    <xf numFmtId="9" fontId="4" fillId="9" borderId="2" applyAlignment="1">
      <alignment vertical="top"/>
    </xf>
    <xf numFmtId="49" fontId="5" fillId="0" borderId="2" applyAlignment="1">
      <alignment vertical="top"/>
    </xf>
    <xf numFmtId="49" fontId="5" fillId="3" borderId="2" applyAlignment="1">
      <alignment vertical="top"/>
    </xf>
    <xf numFmtId="49" fontId="5" fillId="4" borderId="2" applyAlignment="1">
      <alignment vertical="top"/>
    </xf>
    <xf numFmtId="49" fontId="5" fillId="5" borderId="2" applyAlignment="1">
      <alignment vertical="top"/>
    </xf>
    <xf numFmtId="49" fontId="5" fillId="6" borderId="2" applyAlignment="1">
      <alignment vertical="top"/>
    </xf>
    <xf numFmtId="49" fontId="5" fillId="7" borderId="2" applyAlignment="1">
      <alignment vertical="top"/>
    </xf>
    <xf numFmtId="49" fontId="5" fillId="8" borderId="2" applyAlignment="1">
      <alignment vertical="top"/>
    </xf>
    <xf numFmtId="49" fontId="5" fillId="9" borderId="2" applyAlignment="1">
      <alignment vertical="top"/>
    </xf>
    <xf numFmtId="49" fontId="6" fillId="0" borderId="2" applyAlignment="1">
      <alignment vertical="top"/>
    </xf>
    <xf numFmtId="49" fontId="6" fillId="3" borderId="2" applyAlignment="1">
      <alignment vertical="top"/>
    </xf>
    <xf numFmtId="49" fontId="6" fillId="4" borderId="2" applyAlignment="1">
      <alignment vertical="top"/>
    </xf>
    <xf numFmtId="49" fontId="6" fillId="5" borderId="2" applyAlignment="1">
      <alignment vertical="top"/>
    </xf>
    <xf numFmtId="49" fontId="6" fillId="6" borderId="2" applyAlignment="1">
      <alignment vertical="top"/>
    </xf>
    <xf numFmtId="49" fontId="6" fillId="7" borderId="2" applyAlignment="1">
      <alignment vertical="top"/>
    </xf>
    <xf numFmtId="49" fontId="6" fillId="8" borderId="2" applyAlignment="1">
      <alignment vertical="top"/>
    </xf>
    <xf numFmtId="49" fontId="6"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cellStyleXfs>
  <cellXfs count="183">
    <xf numFmtId="0" fontId="0" fillId="0" borderId="0" pivotButton="0" quotePrefix="0" xfId="0"/>
    <xf numFmtId="49" fontId="1" fillId="2" borderId="1" applyAlignment="1" pivotButton="0" quotePrefix="0" xfId="1">
      <alignment vertical="center" wrapText="1"/>
    </xf>
    <xf numFmtId="49" fontId="1" fillId="2" borderId="2" applyAlignment="1" pivotButton="0" quotePrefix="0" xfId="2">
      <alignment vertical="center" wrapText="1"/>
    </xf>
    <xf numFmtId="49" fontId="2" fillId="0" borderId="1" applyAlignment="1" pivotButton="0" quotePrefix="0" xfId="3">
      <alignment vertical="top"/>
    </xf>
    <xf numFmtId="49" fontId="3" fillId="0" borderId="1" applyAlignment="1" pivotButton="0" quotePrefix="0" xfId="4">
      <alignment vertical="top"/>
    </xf>
    <xf numFmtId="49" fontId="0" fillId="0" borderId="1" applyAlignment="1" pivotButton="0" quotePrefix="0" xfId="5">
      <alignment vertical="top" wrapText="1"/>
    </xf>
    <xf numFmtId="49" fontId="3" fillId="0" borderId="1" applyAlignment="1" pivotButton="0" quotePrefix="0" xfId="6">
      <alignment vertical="top" wrapText="1"/>
    </xf>
    <xf numFmtId="49" fontId="0" fillId="0" borderId="2" applyAlignment="1" pivotButton="0" quotePrefix="0" xfId="7">
      <alignment vertical="top"/>
    </xf>
    <xf numFmtId="49" fontId="0" fillId="3" borderId="2" applyAlignment="1" pivotButton="0" quotePrefix="0" xfId="8">
      <alignment vertical="top"/>
    </xf>
    <xf numFmtId="49" fontId="0" fillId="4" borderId="2" applyAlignment="1" pivotButton="0" quotePrefix="0" xfId="9">
      <alignment vertical="top"/>
    </xf>
    <xf numFmtId="49" fontId="0" fillId="5" borderId="2" applyAlignment="1" pivotButton="0" quotePrefix="0" xfId="10">
      <alignment vertical="top"/>
    </xf>
    <xf numFmtId="49" fontId="0" fillId="6" borderId="2" applyAlignment="1" pivotButton="0" quotePrefix="0" xfId="11">
      <alignment vertical="top"/>
    </xf>
    <xf numFmtId="49" fontId="0" fillId="7" borderId="2" applyAlignment="1" pivotButton="0" quotePrefix="0" xfId="12">
      <alignment vertical="top"/>
    </xf>
    <xf numFmtId="49" fontId="0" fillId="8" borderId="2" applyAlignment="1" pivotButton="0" quotePrefix="0" xfId="13">
      <alignment vertical="top"/>
    </xf>
    <xf numFmtId="49" fontId="0" fillId="9" borderId="2" applyAlignment="1" pivotButton="0" quotePrefix="0" xfId="14">
      <alignment vertical="top"/>
    </xf>
    <xf numFmtId="49" fontId="4" fillId="0" borderId="2" applyAlignment="1" pivotButton="0" quotePrefix="0" xfId="15">
      <alignment vertical="top"/>
    </xf>
    <xf numFmtId="49" fontId="4" fillId="3" borderId="2" applyAlignment="1" pivotButton="0" quotePrefix="0" xfId="16">
      <alignment vertical="top"/>
    </xf>
    <xf numFmtId="49" fontId="4" fillId="4" borderId="2" applyAlignment="1" pivotButton="0" quotePrefix="0" xfId="17">
      <alignment vertical="top"/>
    </xf>
    <xf numFmtId="49" fontId="4" fillId="5" borderId="2" applyAlignment="1" pivotButton="0" quotePrefix="0" xfId="18">
      <alignment vertical="top"/>
    </xf>
    <xf numFmtId="49" fontId="4" fillId="6" borderId="2" applyAlignment="1" pivotButton="0" quotePrefix="0" xfId="19">
      <alignment vertical="top"/>
    </xf>
    <xf numFmtId="49" fontId="4" fillId="7" borderId="2" applyAlignment="1" pivotButton="0" quotePrefix="0" xfId="20">
      <alignment vertical="top"/>
    </xf>
    <xf numFmtId="49" fontId="4" fillId="8" borderId="2" applyAlignment="1" pivotButton="0" quotePrefix="0" xfId="21">
      <alignment vertical="top"/>
    </xf>
    <xf numFmtId="49" fontId="4" fillId="9" borderId="2" applyAlignment="1" pivotButton="0" quotePrefix="0" xfId="22">
      <alignment vertical="top"/>
    </xf>
    <xf numFmtId="49" fontId="0" fillId="0" borderId="2" applyAlignment="1" pivotButton="0" quotePrefix="0" xfId="23">
      <alignment vertical="top"/>
    </xf>
    <xf numFmtId="49" fontId="0" fillId="3" borderId="2" applyAlignment="1" pivotButton="0" quotePrefix="0" xfId="24">
      <alignment vertical="top"/>
    </xf>
    <xf numFmtId="49" fontId="0" fillId="4" borderId="2" applyAlignment="1" pivotButton="0" quotePrefix="0" xfId="25">
      <alignment vertical="top"/>
    </xf>
    <xf numFmtId="49" fontId="0" fillId="5" borderId="2" applyAlignment="1" pivotButton="0" quotePrefix="0" xfId="26">
      <alignment vertical="top"/>
    </xf>
    <xf numFmtId="49" fontId="0" fillId="6" borderId="2" applyAlignment="1" pivotButton="0" quotePrefix="0" xfId="27">
      <alignment vertical="top"/>
    </xf>
    <xf numFmtId="49" fontId="0" fillId="7" borderId="2" applyAlignment="1" pivotButton="0" quotePrefix="0" xfId="28">
      <alignment vertical="top"/>
    </xf>
    <xf numFmtId="49" fontId="0" fillId="8" borderId="2" applyAlignment="1" pivotButton="0" quotePrefix="0" xfId="29">
      <alignment vertical="top"/>
    </xf>
    <xf numFmtId="49" fontId="0" fillId="9" borderId="2" applyAlignment="1" pivotButton="0" quotePrefix="0" xfId="30">
      <alignment vertical="top"/>
    </xf>
    <xf numFmtId="49" fontId="4" fillId="0" borderId="2" applyAlignment="1" pivotButton="0" quotePrefix="0" xfId="31">
      <alignment vertical="top"/>
    </xf>
    <xf numFmtId="49" fontId="4" fillId="3" borderId="2" applyAlignment="1" pivotButton="0" quotePrefix="0" xfId="32">
      <alignment vertical="top"/>
    </xf>
    <xf numFmtId="49" fontId="4" fillId="4" borderId="2" applyAlignment="1" pivotButton="0" quotePrefix="0" xfId="33">
      <alignment vertical="top"/>
    </xf>
    <xf numFmtId="49" fontId="4" fillId="5" borderId="2" applyAlignment="1" pivotButton="0" quotePrefix="0" xfId="34">
      <alignment vertical="top"/>
    </xf>
    <xf numFmtId="49" fontId="4" fillId="6" borderId="2" applyAlignment="1" pivotButton="0" quotePrefix="0" xfId="35">
      <alignment vertical="top"/>
    </xf>
    <xf numFmtId="49" fontId="4" fillId="7" borderId="2" applyAlignment="1" pivotButton="0" quotePrefix="0" xfId="36">
      <alignment vertical="top"/>
    </xf>
    <xf numFmtId="49" fontId="4" fillId="8" borderId="2" applyAlignment="1" pivotButton="0" quotePrefix="0" xfId="37">
      <alignment vertical="top"/>
    </xf>
    <xf numFmtId="49" fontId="4" fillId="9" borderId="2" applyAlignment="1" pivotButton="0" quotePrefix="0" xfId="38">
      <alignment vertical="top"/>
    </xf>
    <xf numFmtId="49" fontId="0" fillId="0" borderId="2" applyAlignment="1" pivotButton="0" quotePrefix="0" xfId="39">
      <alignment vertical="top"/>
    </xf>
    <xf numFmtId="49" fontId="0" fillId="3" borderId="2" applyAlignment="1" pivotButton="0" quotePrefix="0" xfId="40">
      <alignment vertical="top"/>
    </xf>
    <xf numFmtId="49" fontId="0" fillId="4" borderId="2" applyAlignment="1" pivotButton="0" quotePrefix="0" xfId="41">
      <alignment vertical="top"/>
    </xf>
    <xf numFmtId="49" fontId="0" fillId="5" borderId="2" applyAlignment="1" pivotButton="0" quotePrefix="0" xfId="42">
      <alignment vertical="top"/>
    </xf>
    <xf numFmtId="49" fontId="0" fillId="6" borderId="2" applyAlignment="1" pivotButton="0" quotePrefix="0" xfId="43">
      <alignment vertical="top"/>
    </xf>
    <xf numFmtId="49" fontId="0" fillId="7" borderId="2" applyAlignment="1" pivotButton="0" quotePrefix="0" xfId="44">
      <alignment vertical="top"/>
    </xf>
    <xf numFmtId="49" fontId="0" fillId="8" borderId="2" applyAlignment="1" pivotButton="0" quotePrefix="0" xfId="45">
      <alignment vertical="top"/>
    </xf>
    <xf numFmtId="49" fontId="0" fillId="9" borderId="2" applyAlignment="1" pivotButton="0" quotePrefix="0" xfId="46">
      <alignment vertical="top"/>
    </xf>
    <xf numFmtId="49" fontId="4" fillId="0" borderId="2" applyAlignment="1" pivotButton="0" quotePrefix="0" xfId="47">
      <alignment vertical="top"/>
    </xf>
    <xf numFmtId="49" fontId="4" fillId="3" borderId="2" applyAlignment="1" pivotButton="0" quotePrefix="0" xfId="48">
      <alignment vertical="top"/>
    </xf>
    <xf numFmtId="49" fontId="4" fillId="4" borderId="2" applyAlignment="1" pivotButton="0" quotePrefix="0" xfId="49">
      <alignment vertical="top"/>
    </xf>
    <xf numFmtId="49" fontId="4" fillId="5" borderId="2" applyAlignment="1" pivotButton="0" quotePrefix="0" xfId="50">
      <alignment vertical="top"/>
    </xf>
    <xf numFmtId="49" fontId="4" fillId="6" borderId="2" applyAlignment="1" pivotButton="0" quotePrefix="0" xfId="51">
      <alignment vertical="top"/>
    </xf>
    <xf numFmtId="49" fontId="4" fillId="7" borderId="2" applyAlignment="1" pivotButton="0" quotePrefix="0" xfId="52">
      <alignment vertical="top"/>
    </xf>
    <xf numFmtId="49" fontId="4" fillId="8" borderId="2" applyAlignment="1" pivotButton="0" quotePrefix="0" xfId="53">
      <alignment vertical="top"/>
    </xf>
    <xf numFmtId="49" fontId="4" fillId="9" borderId="2" applyAlignment="1" pivotButton="0" quotePrefix="0" xfId="54">
      <alignment vertical="top"/>
    </xf>
    <xf numFmtId="49" fontId="0" fillId="0" borderId="2" applyAlignment="1" pivotButton="0" quotePrefix="0" xfId="55">
      <alignment vertical="top" wrapText="1"/>
    </xf>
    <xf numFmtId="49" fontId="0" fillId="3" borderId="2" applyAlignment="1" pivotButton="0" quotePrefix="0" xfId="56">
      <alignment vertical="top" wrapText="1"/>
    </xf>
    <xf numFmtId="49" fontId="0" fillId="4" borderId="2" applyAlignment="1" pivotButton="0" quotePrefix="0" xfId="57">
      <alignment vertical="top" wrapText="1"/>
    </xf>
    <xf numFmtId="49" fontId="0" fillId="5" borderId="2" applyAlignment="1" pivotButton="0" quotePrefix="0" xfId="58">
      <alignment vertical="top" wrapText="1"/>
    </xf>
    <xf numFmtId="49" fontId="0" fillId="6" borderId="2" applyAlignment="1" pivotButton="0" quotePrefix="0" xfId="59">
      <alignment vertical="top" wrapText="1"/>
    </xf>
    <xf numFmtId="49" fontId="0" fillId="7" borderId="2" applyAlignment="1" pivotButton="0" quotePrefix="0" xfId="60">
      <alignment vertical="top" wrapText="1"/>
    </xf>
    <xf numFmtId="49" fontId="0" fillId="8" borderId="2" applyAlignment="1" pivotButton="0" quotePrefix="0" xfId="61">
      <alignment vertical="top" wrapText="1"/>
    </xf>
    <xf numFmtId="49" fontId="0" fillId="9" borderId="2" applyAlignment="1" pivotButton="0" quotePrefix="0" xfId="62">
      <alignment vertical="top" wrapText="1"/>
    </xf>
    <xf numFmtId="49" fontId="4" fillId="0" borderId="2" applyAlignment="1" pivotButton="0" quotePrefix="0" xfId="63">
      <alignment vertical="top" wrapText="1"/>
    </xf>
    <xf numFmtId="49" fontId="4" fillId="3" borderId="2" applyAlignment="1" pivotButton="0" quotePrefix="0" xfId="64">
      <alignment vertical="top" wrapText="1"/>
    </xf>
    <xf numFmtId="49" fontId="4" fillId="4" borderId="2" applyAlignment="1" pivotButton="0" quotePrefix="0" xfId="65">
      <alignment vertical="top" wrapText="1"/>
    </xf>
    <xf numFmtId="49" fontId="4" fillId="5" borderId="2" applyAlignment="1" pivotButton="0" quotePrefix="0" xfId="66">
      <alignment vertical="top" wrapText="1"/>
    </xf>
    <xf numFmtId="49" fontId="4" fillId="6" borderId="2" applyAlignment="1" pivotButton="0" quotePrefix="0" xfId="67">
      <alignment vertical="top" wrapText="1"/>
    </xf>
    <xf numFmtId="49" fontId="4" fillId="7" borderId="2" applyAlignment="1" pivotButton="0" quotePrefix="0" xfId="68">
      <alignment vertical="top" wrapText="1"/>
    </xf>
    <xf numFmtId="49" fontId="4" fillId="8" borderId="2" applyAlignment="1" pivotButton="0" quotePrefix="0" xfId="69">
      <alignment vertical="top" wrapText="1"/>
    </xf>
    <xf numFmtId="49" fontId="4" fillId="9" borderId="2" applyAlignment="1" pivotButton="0" quotePrefix="0" xfId="70">
      <alignment vertical="top" wrapText="1"/>
    </xf>
    <xf numFmtId="49" fontId="0" fillId="0" borderId="2" applyAlignment="1" pivotButton="0" quotePrefix="0" xfId="71">
      <alignment vertical="top" wrapText="1"/>
    </xf>
    <xf numFmtId="49" fontId="0" fillId="3" borderId="2" applyAlignment="1" pivotButton="0" quotePrefix="0" xfId="72">
      <alignment vertical="top" wrapText="1"/>
    </xf>
    <xf numFmtId="49" fontId="0" fillId="4" borderId="2" applyAlignment="1" pivotButton="0" quotePrefix="0" xfId="73">
      <alignment vertical="top" wrapText="1"/>
    </xf>
    <xf numFmtId="49" fontId="0" fillId="5" borderId="2" applyAlignment="1" pivotButton="0" quotePrefix="0" xfId="74">
      <alignment vertical="top" wrapText="1"/>
    </xf>
    <xf numFmtId="49" fontId="0" fillId="6" borderId="2" applyAlignment="1" pivotButton="0" quotePrefix="0" xfId="75">
      <alignment vertical="top" wrapText="1"/>
    </xf>
    <xf numFmtId="49" fontId="0" fillId="7" borderId="2" applyAlignment="1" pivotButton="0" quotePrefix="0" xfId="76">
      <alignment vertical="top" wrapText="1"/>
    </xf>
    <xf numFmtId="49" fontId="0" fillId="8" borderId="2" applyAlignment="1" pivotButton="0" quotePrefix="0" xfId="77">
      <alignment vertical="top" wrapText="1"/>
    </xf>
    <xf numFmtId="49" fontId="0" fillId="9" borderId="2" applyAlignment="1" pivotButton="0" quotePrefix="0" xfId="78">
      <alignment vertical="top" wrapText="1"/>
    </xf>
    <xf numFmtId="49" fontId="4" fillId="0" borderId="2" applyAlignment="1" pivotButton="0" quotePrefix="0" xfId="79">
      <alignment vertical="top" wrapText="1"/>
    </xf>
    <xf numFmtId="49" fontId="4" fillId="3" borderId="2" applyAlignment="1" pivotButton="0" quotePrefix="0" xfId="80">
      <alignment vertical="top" wrapText="1"/>
    </xf>
    <xf numFmtId="49" fontId="4" fillId="4" borderId="2" applyAlignment="1" pivotButton="0" quotePrefix="0" xfId="81">
      <alignment vertical="top" wrapText="1"/>
    </xf>
    <xf numFmtId="49" fontId="4" fillId="5" borderId="2" applyAlignment="1" pivotButton="0" quotePrefix="0" xfId="82">
      <alignment vertical="top" wrapText="1"/>
    </xf>
    <xf numFmtId="49" fontId="4" fillId="6" borderId="2" applyAlignment="1" pivotButton="0" quotePrefix="0" xfId="83">
      <alignment vertical="top" wrapText="1"/>
    </xf>
    <xf numFmtId="49" fontId="4" fillId="7" borderId="2" applyAlignment="1" pivotButton="0" quotePrefix="0" xfId="84">
      <alignment vertical="top" wrapText="1"/>
    </xf>
    <xf numFmtId="49" fontId="4" fillId="8" borderId="2" applyAlignment="1" pivotButton="0" quotePrefix="0" xfId="85">
      <alignment vertical="top" wrapText="1"/>
    </xf>
    <xf numFmtId="49" fontId="4" fillId="9" borderId="2" applyAlignment="1" pivotButton="0" quotePrefix="0" xfId="86">
      <alignment vertical="top" wrapText="1"/>
    </xf>
    <xf numFmtId="49" fontId="0" fillId="0" borderId="2" applyAlignment="1" pivotButton="0" quotePrefix="0" xfId="87">
      <alignment vertical="top"/>
    </xf>
    <xf numFmtId="49" fontId="0" fillId="3" borderId="2" applyAlignment="1" pivotButton="0" quotePrefix="0" xfId="88">
      <alignment vertical="top"/>
    </xf>
    <xf numFmtId="49" fontId="0" fillId="4" borderId="2" applyAlignment="1" pivotButton="0" quotePrefix="0" xfId="89">
      <alignment vertical="top"/>
    </xf>
    <xf numFmtId="49" fontId="0" fillId="5" borderId="2" applyAlignment="1" pivotButton="0" quotePrefix="0" xfId="90">
      <alignment vertical="top"/>
    </xf>
    <xf numFmtId="49" fontId="0" fillId="6" borderId="2" applyAlignment="1" pivotButton="0" quotePrefix="0" xfId="91">
      <alignment vertical="top"/>
    </xf>
    <xf numFmtId="49" fontId="0" fillId="7" borderId="2" applyAlignment="1" pivotButton="0" quotePrefix="0" xfId="92">
      <alignment vertical="top"/>
    </xf>
    <xf numFmtId="49" fontId="0" fillId="8" borderId="2" applyAlignment="1" pivotButton="0" quotePrefix="0" xfId="93">
      <alignment vertical="top"/>
    </xf>
    <xf numFmtId="49" fontId="0" fillId="9" borderId="2" applyAlignment="1" pivotButton="0" quotePrefix="0" xfId="94">
      <alignment vertical="top"/>
    </xf>
    <xf numFmtId="49" fontId="4" fillId="0" borderId="2" applyAlignment="1" pivotButton="0" quotePrefix="0" xfId="95">
      <alignment vertical="top"/>
    </xf>
    <xf numFmtId="49" fontId="4" fillId="3" borderId="2" applyAlignment="1" pivotButton="0" quotePrefix="0" xfId="96">
      <alignment vertical="top"/>
    </xf>
    <xf numFmtId="49" fontId="4" fillId="4" borderId="2" applyAlignment="1" pivotButton="0" quotePrefix="0" xfId="97">
      <alignment vertical="top"/>
    </xf>
    <xf numFmtId="49" fontId="4" fillId="5" borderId="2" applyAlignment="1" pivotButton="0" quotePrefix="0" xfId="98">
      <alignment vertical="top"/>
    </xf>
    <xf numFmtId="49" fontId="4" fillId="6" borderId="2" applyAlignment="1" pivotButton="0" quotePrefix="0" xfId="99">
      <alignment vertical="top"/>
    </xf>
    <xf numFmtId="49" fontId="4" fillId="7" borderId="2" applyAlignment="1" pivotButton="0" quotePrefix="0" xfId="100">
      <alignment vertical="top"/>
    </xf>
    <xf numFmtId="49" fontId="4" fillId="8" borderId="2" applyAlignment="1" pivotButton="0" quotePrefix="0" xfId="101">
      <alignment vertical="top"/>
    </xf>
    <xf numFmtId="49" fontId="4" fillId="9" borderId="2" applyAlignment="1" pivotButton="0" quotePrefix="0" xfId="102">
      <alignment vertical="top"/>
    </xf>
    <xf numFmtId="164" fontId="0" fillId="0" borderId="2" applyAlignment="1" pivotButton="0" quotePrefix="0" xfId="103">
      <alignment vertical="top"/>
    </xf>
    <xf numFmtId="164" fontId="0" fillId="3" borderId="2" applyAlignment="1" pivotButton="0" quotePrefix="0" xfId="104">
      <alignment vertical="top"/>
    </xf>
    <xf numFmtId="164" fontId="0" fillId="4" borderId="2" applyAlignment="1" pivotButton="0" quotePrefix="0" xfId="105">
      <alignment vertical="top"/>
    </xf>
    <xf numFmtId="164" fontId="0" fillId="5" borderId="2" applyAlignment="1" pivotButton="0" quotePrefix="0" xfId="106">
      <alignment vertical="top"/>
    </xf>
    <xf numFmtId="164" fontId="0" fillId="6" borderId="2" applyAlignment="1" pivotButton="0" quotePrefix="0" xfId="107">
      <alignment vertical="top"/>
    </xf>
    <xf numFmtId="164" fontId="0" fillId="7" borderId="2" applyAlignment="1" pivotButton="0" quotePrefix="0" xfId="108">
      <alignment vertical="top"/>
    </xf>
    <xf numFmtId="164" fontId="0" fillId="8" borderId="2" applyAlignment="1" pivotButton="0" quotePrefix="0" xfId="109">
      <alignment vertical="top"/>
    </xf>
    <xf numFmtId="164" fontId="0" fillId="9" borderId="2" applyAlignment="1" pivotButton="0" quotePrefix="0" xfId="110">
      <alignment vertical="top"/>
    </xf>
    <xf numFmtId="164" fontId="4" fillId="0" borderId="2" applyAlignment="1" pivotButton="0" quotePrefix="0" xfId="111">
      <alignment vertical="top"/>
    </xf>
    <xf numFmtId="164" fontId="4" fillId="3" borderId="2" applyAlignment="1" pivotButton="0" quotePrefix="0" xfId="112">
      <alignment vertical="top"/>
    </xf>
    <xf numFmtId="164" fontId="4" fillId="4" borderId="2" applyAlignment="1" pivotButton="0" quotePrefix="0" xfId="113">
      <alignment vertical="top"/>
    </xf>
    <xf numFmtId="164" fontId="4" fillId="5" borderId="2" applyAlignment="1" pivotButton="0" quotePrefix="0" xfId="114">
      <alignment vertical="top"/>
    </xf>
    <xf numFmtId="164" fontId="4" fillId="6" borderId="2" applyAlignment="1" pivotButton="0" quotePrefix="0" xfId="115">
      <alignment vertical="top"/>
    </xf>
    <xf numFmtId="164" fontId="4" fillId="7" borderId="2" applyAlignment="1" pivotButton="0" quotePrefix="0" xfId="116">
      <alignment vertical="top"/>
    </xf>
    <xf numFmtId="164" fontId="4" fillId="8" borderId="2" applyAlignment="1" pivotButton="0" quotePrefix="0" xfId="117">
      <alignment vertical="top"/>
    </xf>
    <xf numFmtId="164" fontId="4" fillId="9" borderId="2" applyAlignment="1" pivotButton="0" quotePrefix="0" xfId="118">
      <alignment vertical="top"/>
    </xf>
    <xf numFmtId="1" fontId="0" fillId="0" borderId="2" applyAlignment="1" pivotButton="0" quotePrefix="0" xfId="119">
      <alignment vertical="top"/>
    </xf>
    <xf numFmtId="1" fontId="0" fillId="3" borderId="2" applyAlignment="1" pivotButton="0" quotePrefix="0" xfId="120">
      <alignment vertical="top"/>
    </xf>
    <xf numFmtId="1" fontId="0" fillId="4" borderId="2" applyAlignment="1" pivotButton="0" quotePrefix="0" xfId="121">
      <alignment vertical="top"/>
    </xf>
    <xf numFmtId="1" fontId="0" fillId="5" borderId="2" applyAlignment="1" pivotButton="0" quotePrefix="0" xfId="122">
      <alignment vertical="top"/>
    </xf>
    <xf numFmtId="1" fontId="0" fillId="6" borderId="2" applyAlignment="1" pivotButton="0" quotePrefix="0" xfId="123">
      <alignment vertical="top"/>
    </xf>
    <xf numFmtId="1" fontId="0" fillId="7" borderId="2" applyAlignment="1" pivotButton="0" quotePrefix="0" xfId="124">
      <alignment vertical="top"/>
    </xf>
    <xf numFmtId="1" fontId="0" fillId="8" borderId="2" applyAlignment="1" pivotButton="0" quotePrefix="0" xfId="125">
      <alignment vertical="top"/>
    </xf>
    <xf numFmtId="1" fontId="0" fillId="9" borderId="2" applyAlignment="1" pivotButton="0" quotePrefix="0" xfId="126">
      <alignment vertical="top"/>
    </xf>
    <xf numFmtId="1" fontId="4" fillId="0" borderId="2" applyAlignment="1" pivotButton="0" quotePrefix="0" xfId="127">
      <alignment vertical="top"/>
    </xf>
    <xf numFmtId="1" fontId="4" fillId="3" borderId="2" applyAlignment="1" pivotButton="0" quotePrefix="0" xfId="128">
      <alignment vertical="top"/>
    </xf>
    <xf numFmtId="1" fontId="4" fillId="4" borderId="2" applyAlignment="1" pivotButton="0" quotePrefix="0" xfId="129">
      <alignment vertical="top"/>
    </xf>
    <xf numFmtId="1" fontId="4" fillId="5" borderId="2" applyAlignment="1" pivotButton="0" quotePrefix="0" xfId="130">
      <alignment vertical="top"/>
    </xf>
    <xf numFmtId="1" fontId="4" fillId="6" borderId="2" applyAlignment="1" pivotButton="0" quotePrefix="0" xfId="131">
      <alignment vertical="top"/>
    </xf>
    <xf numFmtId="1" fontId="4" fillId="7" borderId="2" applyAlignment="1" pivotButton="0" quotePrefix="0" xfId="132">
      <alignment vertical="top"/>
    </xf>
    <xf numFmtId="1" fontId="4" fillId="8" borderId="2" applyAlignment="1" pivotButton="0" quotePrefix="0" xfId="133">
      <alignment vertical="top"/>
    </xf>
    <xf numFmtId="1" fontId="4" fillId="9" borderId="2" applyAlignment="1" pivotButton="0" quotePrefix="0" xfId="134">
      <alignment vertical="top"/>
    </xf>
    <xf numFmtId="9" fontId="0" fillId="0" borderId="2" applyAlignment="1" pivotButton="0" quotePrefix="0" xfId="135">
      <alignment vertical="top"/>
    </xf>
    <xf numFmtId="9" fontId="0" fillId="3" borderId="2" applyAlignment="1" pivotButton="0" quotePrefix="0" xfId="136">
      <alignment vertical="top"/>
    </xf>
    <xf numFmtId="9" fontId="0" fillId="4" borderId="2" applyAlignment="1" pivotButton="0" quotePrefix="0" xfId="137">
      <alignment vertical="top"/>
    </xf>
    <xf numFmtId="9" fontId="0" fillId="5" borderId="2" applyAlignment="1" pivotButton="0" quotePrefix="0" xfId="138">
      <alignment vertical="top"/>
    </xf>
    <xf numFmtId="9" fontId="0" fillId="6" borderId="2" applyAlignment="1" pivotButton="0" quotePrefix="0" xfId="139">
      <alignment vertical="top"/>
    </xf>
    <xf numFmtId="9" fontId="0" fillId="7" borderId="2" applyAlignment="1" pivotButton="0" quotePrefix="0" xfId="140">
      <alignment vertical="top"/>
    </xf>
    <xf numFmtId="9" fontId="0" fillId="8" borderId="2" applyAlignment="1" pivotButton="0" quotePrefix="0" xfId="141">
      <alignment vertical="top"/>
    </xf>
    <xf numFmtId="9" fontId="0" fillId="9" borderId="2" applyAlignment="1" pivotButton="0" quotePrefix="0" xfId="142">
      <alignment vertical="top"/>
    </xf>
    <xf numFmtId="9" fontId="4" fillId="0" borderId="2" applyAlignment="1" pivotButton="0" quotePrefix="0" xfId="143">
      <alignment vertical="top"/>
    </xf>
    <xf numFmtId="9" fontId="4" fillId="3" borderId="2" applyAlignment="1" pivotButton="0" quotePrefix="0" xfId="144">
      <alignment vertical="top"/>
    </xf>
    <xf numFmtId="9" fontId="4" fillId="4" borderId="2" applyAlignment="1" pivotButton="0" quotePrefix="0" xfId="145">
      <alignment vertical="top"/>
    </xf>
    <xf numFmtId="9" fontId="4" fillId="5" borderId="2" applyAlignment="1" pivotButton="0" quotePrefix="0" xfId="146">
      <alignment vertical="top"/>
    </xf>
    <xf numFmtId="9" fontId="4" fillId="6" borderId="2" applyAlignment="1" pivotButton="0" quotePrefix="0" xfId="147">
      <alignment vertical="top"/>
    </xf>
    <xf numFmtId="9" fontId="4" fillId="7" borderId="2" applyAlignment="1" pivotButton="0" quotePrefix="0" xfId="148">
      <alignment vertical="top"/>
    </xf>
    <xf numFmtId="9" fontId="4" fillId="8" borderId="2" applyAlignment="1" pivotButton="0" quotePrefix="0" xfId="149">
      <alignment vertical="top"/>
    </xf>
    <xf numFmtId="9" fontId="4" fillId="9" borderId="2" applyAlignment="1" pivotButton="0" quotePrefix="0" xfId="150">
      <alignment vertical="top"/>
    </xf>
    <xf numFmtId="49" fontId="5" fillId="0" borderId="2" applyAlignment="1" pivotButton="0" quotePrefix="0" xfId="151">
      <alignment vertical="top"/>
    </xf>
    <xf numFmtId="49" fontId="5" fillId="3" borderId="2" applyAlignment="1" pivotButton="0" quotePrefix="0" xfId="152">
      <alignment vertical="top"/>
    </xf>
    <xf numFmtId="49" fontId="5" fillId="4" borderId="2" applyAlignment="1" pivotButton="0" quotePrefix="0" xfId="153">
      <alignment vertical="top"/>
    </xf>
    <xf numFmtId="49" fontId="5" fillId="5" borderId="2" applyAlignment="1" pivotButton="0" quotePrefix="0" xfId="154">
      <alignment vertical="top"/>
    </xf>
    <xf numFmtId="49" fontId="5" fillId="6" borderId="2" applyAlignment="1" pivotButton="0" quotePrefix="0" xfId="155">
      <alignment vertical="top"/>
    </xf>
    <xf numFmtId="49" fontId="5" fillId="7" borderId="2" applyAlignment="1" pivotButton="0" quotePrefix="0" xfId="156">
      <alignment vertical="top"/>
    </xf>
    <xf numFmtId="49" fontId="5" fillId="8" borderId="2" applyAlignment="1" pivotButton="0" quotePrefix="0" xfId="157">
      <alignment vertical="top"/>
    </xf>
    <xf numFmtId="49" fontId="5" fillId="9" borderId="2" applyAlignment="1" pivotButton="0" quotePrefix="0" xfId="158">
      <alignment vertical="top"/>
    </xf>
    <xf numFmtId="49" fontId="6" fillId="0" borderId="2" applyAlignment="1" pivotButton="0" quotePrefix="0" xfId="159">
      <alignment vertical="top"/>
    </xf>
    <xf numFmtId="49" fontId="6" fillId="3" borderId="2" applyAlignment="1" pivotButton="0" quotePrefix="0" xfId="160">
      <alignment vertical="top"/>
    </xf>
    <xf numFmtId="49" fontId="6" fillId="4" borderId="2" applyAlignment="1" pivotButton="0" quotePrefix="0" xfId="161">
      <alignment vertical="top"/>
    </xf>
    <xf numFmtId="49" fontId="6" fillId="5" borderId="2" applyAlignment="1" pivotButton="0" quotePrefix="0" xfId="162">
      <alignment vertical="top"/>
    </xf>
    <xf numFmtId="49" fontId="6" fillId="6" borderId="2" applyAlignment="1" pivotButton="0" quotePrefix="0" xfId="163">
      <alignment vertical="top"/>
    </xf>
    <xf numFmtId="49" fontId="6" fillId="7" borderId="2" applyAlignment="1" pivotButton="0" quotePrefix="0" xfId="164">
      <alignment vertical="top"/>
    </xf>
    <xf numFmtId="49" fontId="6" fillId="8" borderId="2" applyAlignment="1" pivotButton="0" quotePrefix="0" xfId="165">
      <alignment vertical="top"/>
    </xf>
    <xf numFmtId="49" fontId="6" fillId="9" borderId="2" applyAlignment="1" pivotButton="0" quotePrefix="0" xfId="166">
      <alignment vertical="top"/>
    </xf>
    <xf numFmtId="49" fontId="0" fillId="0" borderId="2" applyAlignment="1" pivotButton="0" quotePrefix="0" xfId="167">
      <alignment vertical="top"/>
    </xf>
    <xf numFmtId="49" fontId="0" fillId="3" borderId="2" applyAlignment="1" pivotButton="0" quotePrefix="0" xfId="168">
      <alignment vertical="top"/>
    </xf>
    <xf numFmtId="49" fontId="0" fillId="4" borderId="2" applyAlignment="1" pivotButton="0" quotePrefix="0" xfId="169">
      <alignment vertical="top"/>
    </xf>
    <xf numFmtId="49" fontId="0" fillId="5" borderId="2" applyAlignment="1" pivotButton="0" quotePrefix="0" xfId="170">
      <alignment vertical="top"/>
    </xf>
    <xf numFmtId="49" fontId="0" fillId="6" borderId="2" applyAlignment="1" pivotButton="0" quotePrefix="0" xfId="171">
      <alignment vertical="top"/>
    </xf>
    <xf numFmtId="49" fontId="0" fillId="7" borderId="2" applyAlignment="1" pivotButton="0" quotePrefix="0" xfId="172">
      <alignment vertical="top"/>
    </xf>
    <xf numFmtId="49" fontId="0" fillId="8" borderId="2" applyAlignment="1" pivotButton="0" quotePrefix="0" xfId="173">
      <alignment vertical="top"/>
    </xf>
    <xf numFmtId="49" fontId="0" fillId="9" borderId="2" applyAlignment="1" pivotButton="0" quotePrefix="0" xfId="174">
      <alignment vertical="top"/>
    </xf>
    <xf numFmtId="49" fontId="4" fillId="0" borderId="2" applyAlignment="1" pivotButton="0" quotePrefix="0" xfId="175">
      <alignment vertical="top"/>
    </xf>
    <xf numFmtId="49" fontId="4" fillId="3" borderId="2" applyAlignment="1" pivotButton="0" quotePrefix="0" xfId="176">
      <alignment vertical="top"/>
    </xf>
    <xf numFmtId="49" fontId="4" fillId="4" borderId="2" applyAlignment="1" pivotButton="0" quotePrefix="0" xfId="177">
      <alignment vertical="top"/>
    </xf>
    <xf numFmtId="49" fontId="4" fillId="5" borderId="2" applyAlignment="1" pivotButton="0" quotePrefix="0" xfId="178">
      <alignment vertical="top"/>
    </xf>
    <xf numFmtId="49" fontId="4" fillId="6" borderId="2" applyAlignment="1" pivotButton="0" quotePrefix="0" xfId="179">
      <alignment vertical="top"/>
    </xf>
    <xf numFmtId="49" fontId="4" fillId="7" borderId="2" applyAlignment="1" pivotButton="0" quotePrefix="0" xfId="180">
      <alignment vertical="top"/>
    </xf>
    <xf numFmtId="49" fontId="4" fillId="8" borderId="2" applyAlignment="1" pivotButton="0" quotePrefix="0" xfId="181">
      <alignment vertical="top"/>
    </xf>
    <xf numFmtId="49" fontId="4" fillId="9" borderId="2" applyAlignment="1" pivotButton="0" quotePrefix="0" xfId="182">
      <alignment vertical="top"/>
    </xf>
  </cellXfs>
  <cellStyles count="183">
    <cellStyle name="Normal" xfId="0" builtinId="0" hidden="0"/>
    <cellStyle name="Export header" xfId="1" hidden="0"/>
    <cellStyle name="Export header bordered" xfId="2" hidden="0"/>
    <cellStyle name="Export title" xfId="3" hidden="0"/>
    <cellStyle name="Export note" xfId="4" hidden="0"/>
    <cellStyle name="Export paragraph body" xfId="5" hidden="0"/>
    <cellStyle name="Export paragraph note" xfId="6" hidden="0"/>
    <cellStyle name="Export body ref" xfId="7" hidden="0"/>
    <cellStyle name="Export fill priority_a ref" xfId="8" hidden="0"/>
    <cellStyle name="Export fill priority_b ref" xfId="9" hidden="0"/>
    <cellStyle name="Export fill priority_c ref" xfId="10" hidden="0"/>
    <cellStyle name="Export fill rank_a ref" xfId="11" hidden="0"/>
    <cellStyle name="Export fill rank_b ref" xfId="12" hidden="0"/>
    <cellStyle name="Export fill rank_c ref" xfId="13" hidden="0"/>
    <cellStyle name="Export fill new_row ref" xfId="14" hidden="0"/>
    <cellStyle name="Export body ref bold" xfId="15" hidden="0"/>
    <cellStyle name="Export fill priority_a ref bold" xfId="16" hidden="0"/>
    <cellStyle name="Export fill priority_b ref bold" xfId="17" hidden="0"/>
    <cellStyle name="Export fill priority_c ref bold" xfId="18" hidden="0"/>
    <cellStyle name="Export fill rank_a ref bold" xfId="19" hidden="0"/>
    <cellStyle name="Export fill rank_b ref bold" xfId="20" hidden="0"/>
    <cellStyle name="Export fill rank_c ref bold" xfId="21" hidden="0"/>
    <cellStyle name="Export fill new_row ref bold" xfId="22" hidden="0"/>
    <cellStyle name="Export body code" xfId="23" hidden="0"/>
    <cellStyle name="Export fill priority_a code" xfId="24" hidden="0"/>
    <cellStyle name="Export fill priority_b code" xfId="25" hidden="0"/>
    <cellStyle name="Export fill priority_c code" xfId="26" hidden="0"/>
    <cellStyle name="Export fill rank_a code" xfId="27" hidden="0"/>
    <cellStyle name="Export fill rank_b code" xfId="28" hidden="0"/>
    <cellStyle name="Export fill rank_c code" xfId="29" hidden="0"/>
    <cellStyle name="Export fill new_row code" xfId="30" hidden="0"/>
    <cellStyle name="Export body code bold" xfId="31" hidden="0"/>
    <cellStyle name="Export fill priority_a code bold" xfId="32" hidden="0"/>
    <cellStyle name="Export fill priority_b code bold" xfId="33" hidden="0"/>
    <cellStyle name="Export fill priority_c code bold" xfId="34" hidden="0"/>
    <cellStyle name="Export fill rank_a code bold" xfId="35" hidden="0"/>
    <cellStyle name="Export fill rank_b code bold" xfId="36" hidden="0"/>
    <cellStyle name="Export fill rank_c code bold" xfId="37" hidden="0"/>
    <cellStyle name="Export fill new_row code bold" xfId="38" hidden="0"/>
    <cellStyle name="Export body label" xfId="39" hidden="0"/>
    <cellStyle name="Export fill priority_a label" xfId="40" hidden="0"/>
    <cellStyle name="Export fill priority_b label" xfId="41" hidden="0"/>
    <cellStyle name="Export fill priority_c label" xfId="42" hidden="0"/>
    <cellStyle name="Export fill rank_a label" xfId="43" hidden="0"/>
    <cellStyle name="Export fill rank_b label" xfId="44" hidden="0"/>
    <cellStyle name="Export fill rank_c label" xfId="45" hidden="0"/>
    <cellStyle name="Export fill new_row label" xfId="46" hidden="0"/>
    <cellStyle name="Export body label bold" xfId="47" hidden="0"/>
    <cellStyle name="Export fill priority_a label bold" xfId="48" hidden="0"/>
    <cellStyle name="Export fill priority_b label bold" xfId="49" hidden="0"/>
    <cellStyle name="Export fill priority_c label bold" xfId="50" hidden="0"/>
    <cellStyle name="Export fill rank_a label bold" xfId="51" hidden="0"/>
    <cellStyle name="Export fill rank_b label bold" xfId="52" hidden="0"/>
    <cellStyle name="Export fill rank_c label bold" xfId="53" hidden="0"/>
    <cellStyle name="Export fill new_row label bold" xfId="54" hidden="0"/>
    <cellStyle name="Export body text_short" xfId="55" hidden="0"/>
    <cellStyle name="Export fill priority_a text_short" xfId="56" hidden="0"/>
    <cellStyle name="Export fill priority_b text_short" xfId="57" hidden="0"/>
    <cellStyle name="Export fill priority_c text_short" xfId="58" hidden="0"/>
    <cellStyle name="Export fill rank_a text_short" xfId="59" hidden="0"/>
    <cellStyle name="Export fill rank_b text_short" xfId="60" hidden="0"/>
    <cellStyle name="Export fill rank_c text_short" xfId="61" hidden="0"/>
    <cellStyle name="Export fill new_row text_short" xfId="62" hidden="0"/>
    <cellStyle name="Export body text_short bold" xfId="63" hidden="0"/>
    <cellStyle name="Export fill priority_a text_short bold" xfId="64" hidden="0"/>
    <cellStyle name="Export fill priority_b text_short bold" xfId="65" hidden="0"/>
    <cellStyle name="Export fill priority_c text_short bold" xfId="66" hidden="0"/>
    <cellStyle name="Export fill rank_a text_short bold" xfId="67" hidden="0"/>
    <cellStyle name="Export fill rank_b text_short bold" xfId="68" hidden="0"/>
    <cellStyle name="Export fill rank_c text_short bold" xfId="69" hidden="0"/>
    <cellStyle name="Export fill new_row text_short bold" xfId="70" hidden="0"/>
    <cellStyle name="Export body text_long" xfId="71" hidden="0"/>
    <cellStyle name="Export fill priority_a text_long" xfId="72" hidden="0"/>
    <cellStyle name="Export fill priority_b text_long" xfId="73" hidden="0"/>
    <cellStyle name="Export fill priority_c text_long" xfId="74" hidden="0"/>
    <cellStyle name="Export fill rank_a text_long" xfId="75" hidden="0"/>
    <cellStyle name="Export fill rank_b text_long" xfId="76" hidden="0"/>
    <cellStyle name="Export fill rank_c text_long" xfId="77" hidden="0"/>
    <cellStyle name="Export fill new_row text_long" xfId="78" hidden="0"/>
    <cellStyle name="Export body text_long bold" xfId="79" hidden="0"/>
    <cellStyle name="Export fill priority_a text_long bold" xfId="80" hidden="0"/>
    <cellStyle name="Export fill priority_b text_long bold" xfId="81" hidden="0"/>
    <cellStyle name="Export fill priority_c text_long bold" xfId="82" hidden="0"/>
    <cellStyle name="Export fill rank_a text_long bold" xfId="83" hidden="0"/>
    <cellStyle name="Export fill rank_b text_long bold" xfId="84" hidden="0"/>
    <cellStyle name="Export fill rank_c text_long bold" xfId="85" hidden="0"/>
    <cellStyle name="Export fill new_row text_long bold" xfId="86" hidden="0"/>
    <cellStyle name="Export body url" xfId="87" hidden="0"/>
    <cellStyle name="Export fill priority_a url" xfId="88" hidden="0"/>
    <cellStyle name="Export fill priority_b url" xfId="89" hidden="0"/>
    <cellStyle name="Export fill priority_c url" xfId="90" hidden="0"/>
    <cellStyle name="Export fill rank_a url" xfId="91" hidden="0"/>
    <cellStyle name="Export fill rank_b url" xfId="92" hidden="0"/>
    <cellStyle name="Export fill rank_c url" xfId="93" hidden="0"/>
    <cellStyle name="Export fill new_row url" xfId="94" hidden="0"/>
    <cellStyle name="Export body url bold" xfId="95" hidden="0"/>
    <cellStyle name="Export fill priority_a url bold" xfId="96" hidden="0"/>
    <cellStyle name="Export fill priority_b url bold" xfId="97" hidden="0"/>
    <cellStyle name="Export fill priority_c url bold" xfId="98" hidden="0"/>
    <cellStyle name="Export fill rank_a url bold" xfId="99" hidden="0"/>
    <cellStyle name="Export fill rank_b url bold" xfId="100" hidden="0"/>
    <cellStyle name="Export fill rank_c url bold" xfId="101" hidden="0"/>
    <cellStyle name="Export fill new_row url bold" xfId="102" hidden="0"/>
    <cellStyle name="Export body date" xfId="103" hidden="0"/>
    <cellStyle name="Export fill priority_a date" xfId="104" hidden="0"/>
    <cellStyle name="Export fill priority_b date" xfId="105" hidden="0"/>
    <cellStyle name="Export fill priority_c date" xfId="106" hidden="0"/>
    <cellStyle name="Export fill rank_a date" xfId="107" hidden="0"/>
    <cellStyle name="Export fill rank_b date" xfId="108" hidden="0"/>
    <cellStyle name="Export fill rank_c date" xfId="109" hidden="0"/>
    <cellStyle name="Export fill new_row date" xfId="110" hidden="0"/>
    <cellStyle name="Export body date bold" xfId="111" hidden="0"/>
    <cellStyle name="Export fill priority_a date bold" xfId="112" hidden="0"/>
    <cellStyle name="Export fill priority_b date bold" xfId="113" hidden="0"/>
    <cellStyle name="Export fill priority_c date bold" xfId="114" hidden="0"/>
    <cellStyle name="Export fill rank_a date bold" xfId="115" hidden="0"/>
    <cellStyle name="Export fill rank_b date bold" xfId="116" hidden="0"/>
    <cellStyle name="Export fill rank_c date bold" xfId="117" hidden="0"/>
    <cellStyle name="Export fill new_row date bold" xfId="118" hidden="0"/>
    <cellStyle name="Export body count" xfId="119" hidden="0"/>
    <cellStyle name="Export fill priority_a count" xfId="120" hidden="0"/>
    <cellStyle name="Export fill priority_b count" xfId="121" hidden="0"/>
    <cellStyle name="Export fill priority_c count" xfId="122" hidden="0"/>
    <cellStyle name="Export fill rank_a count" xfId="123" hidden="0"/>
    <cellStyle name="Export fill rank_b count" xfId="124" hidden="0"/>
    <cellStyle name="Export fill rank_c count" xfId="125" hidden="0"/>
    <cellStyle name="Export fill new_row count" xfId="126" hidden="0"/>
    <cellStyle name="Export body count bold" xfId="127" hidden="0"/>
    <cellStyle name="Export fill priority_a count bold" xfId="128" hidden="0"/>
    <cellStyle name="Export fill priority_b count bold" xfId="129" hidden="0"/>
    <cellStyle name="Export fill priority_c count bold" xfId="130" hidden="0"/>
    <cellStyle name="Export fill rank_a count bold" xfId="131" hidden="0"/>
    <cellStyle name="Export fill rank_b count bold" xfId="132" hidden="0"/>
    <cellStyle name="Export fill rank_c count bold" xfId="133" hidden="0"/>
    <cellStyle name="Export fill new_row count bold" xfId="134" hidden="0"/>
    <cellStyle name="Export body percent" xfId="135" hidden="0"/>
    <cellStyle name="Export fill priority_a percent" xfId="136" hidden="0"/>
    <cellStyle name="Export fill priority_b percent" xfId="137" hidden="0"/>
    <cellStyle name="Export fill priority_c percent" xfId="138" hidden="0"/>
    <cellStyle name="Export fill rank_a percent" xfId="139" hidden="0"/>
    <cellStyle name="Export fill rank_b percent" xfId="140" hidden="0"/>
    <cellStyle name="Export fill rank_c percent" xfId="141" hidden="0"/>
    <cellStyle name="Export fill new_row percent" xfId="142" hidden="0"/>
    <cellStyle name="Export body percent bold" xfId="143" hidden="0"/>
    <cellStyle name="Export fill priority_a percent bold" xfId="144" hidden="0"/>
    <cellStyle name="Export fill priority_b percent bold" xfId="145" hidden="0"/>
    <cellStyle name="Export fill priority_c percent bold" xfId="146" hidden="0"/>
    <cellStyle name="Export fill rank_a percent bold" xfId="147" hidden="0"/>
    <cellStyle name="Export fill rank_b percent bold" xfId="148" hidden="0"/>
    <cellStyle name="Export fill rank_c percent bold" xfId="149" hidden="0"/>
    <cellStyle name="Export fill new_row percent bold" xfId="150" hidden="0"/>
    <cellStyle name="Export link" xfId="151" hidden="0"/>
    <cellStyle name="Export link fill priority_a" xfId="152" hidden="0"/>
    <cellStyle name="Export link fill priority_b" xfId="153" hidden="0"/>
    <cellStyle name="Export link fill priority_c" xfId="154" hidden="0"/>
    <cellStyle name="Export link fill rank_a" xfId="155" hidden="0"/>
    <cellStyle name="Export link fill rank_b" xfId="156" hidden="0"/>
    <cellStyle name="Export link fill rank_c" xfId="157" hidden="0"/>
    <cellStyle name="Export link fill new_row" xfId="158" hidden="0"/>
    <cellStyle name="Export link bold" xfId="159" hidden="0"/>
    <cellStyle name="Export link bold fill priority_a" xfId="160" hidden="0"/>
    <cellStyle name="Export link bold fill priority_b" xfId="161" hidden="0"/>
    <cellStyle name="Export link bold fill priority_c" xfId="162" hidden="0"/>
    <cellStyle name="Export link bold fill rank_a" xfId="163" hidden="0"/>
    <cellStyle name="Export link bold fill rank_b" xfId="164" hidden="0"/>
    <cellStyle name="Export link bold fill rank_c" xfId="165" hidden="0"/>
    <cellStyle name="Export link bold fill new_row" xfId="166" hidden="0"/>
    <cellStyle name="Export body text_short nowrap" xfId="167" hidden="0"/>
    <cellStyle name="Export fill priority_a text_short nowrap" xfId="168" hidden="0"/>
    <cellStyle name="Export fill priority_b text_short nowrap" xfId="169" hidden="0"/>
    <cellStyle name="Export fill priority_c text_short nowrap" xfId="170" hidden="0"/>
    <cellStyle name="Export fill rank_a text_short nowrap" xfId="171" hidden="0"/>
    <cellStyle name="Export fill rank_b text_short nowrap" xfId="172" hidden="0"/>
    <cellStyle name="Export fill rank_c text_short nowrap" xfId="173" hidden="0"/>
    <cellStyle name="Export fill new_row text_short nowrap" xfId="174" hidden="0"/>
    <cellStyle name="Export body text_short nowrap bold" xfId="175" hidden="0"/>
    <cellStyle name="Export fill priority_a text_short nowrap bold" xfId="176" hidden="0"/>
    <cellStyle name="Export fill priority_b text_short nowrap bold" xfId="177" hidden="0"/>
    <cellStyle name="Export fill priority_c text_short nowrap bold" xfId="178" hidden="0"/>
    <cellStyle name="Export fill rank_a text_short nowrap bold" xfId="179" hidden="0"/>
    <cellStyle name="Export fill rank_b text_short nowrap bold" xfId="180" hidden="0"/>
    <cellStyle name="Export fill rank_c text_short nowrap bold" xfId="181" hidden="0"/>
    <cellStyle name="Export fill new_row text_short nowrap bold" xfId="18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1"/>
  <sheetViews>
    <sheetView workbookViewId="0">
      <selection activeCell="A1" sqref="A1"/>
    </sheetView>
  </sheetViews>
  <sheetFormatPr baseColWidth="8" defaultRowHeight="15"/>
  <cols>
    <col width="5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18" customHeight="1">
      <c r="A1" s="3" t="inlineStr">
        <is>
          <t>Zephyr Dynamics platform job postings, last 12 months (first seen 29 October 2025 to 29 October 2026)</t>
        </is>
      </c>
    </row>
    <row r="3" ht="39" customHeight="1">
      <c r="A3" s="5" t="inlineStr">
        <is>
          <t>Every posting on the Zephyr Dynamics careers site first seen in the last 12 months that names a platform, pulled by 6th agents from the structured job posting feed, plus the live postings found on the careers site on 29 October 2026 that the feed did not yet hold. Open and closed postings are both included, and a posting with no date is kept. One row per posting; a reposted requisition appears once per posting.</t>
        </is>
      </c>
    </row>
    <row r="4" ht="39" customHeight="1">
      <c r="A4" s="5" t="inlineStr">
        <is>
          <t>Entity: Zephyr Dynamics means a Zephyr Dynamics position. A divested business or a subsidiary that is tagged for this account shows its own label; a label that starts with Zephyr Dynamics is counted with the Zephyr Dynamics positions below, any other label is shown for completeness and left out of the counts. A posting on another website shows that site's name followed by (entity to confirm); check which business it belongs to before quoting it.</t>
        </is>
      </c>
    </row>
    <row r="5" ht="39" customHeight="1">
      <c r="A5" s="5" t="inlineStr">
        <is>
          <t>Class: Build role means the platform is the job. Admin and owner role runs the platform, owns its data or governs it. Working tool means daily use. User role is everything else, including boilerplate and tool lists. Build and Admin and owner roles are confirmed by reading the whole posting; the other two come from the sentences that name the platform.</t>
        </is>
      </c>
    </row>
    <row r="6" ht="52" customHeight="1">
      <c r="A6" s="5" t="inlineStr">
        <is>
          <t>What the posting says (read) is filled for roles read in full that were confirmed as Build or Admin and owner. Platform sentences shows the exact sentences where each platform is named, grouped by platform. Full description is the complete posting. Requisition is the job ID the posting prints, blank when it prints none. Link opens the posting; Archived link opens our stored copy, because closed postings disappear from careers sites. New since last research marks postings first seen after the previous research. Ref and Source code tie each row to the source register.</t>
        </is>
      </c>
    </row>
    <row r="7" ht="26" customHeight="1">
      <c r="A7" s="5" t="inlineStr">
        <is>
          <t>Platforms are matched in the posting text. SAP is matched as the capitalized word SAP, S/4HANA, Ariba, SuccessFactors or Concur. Salesforce includes SFDC and the Salesforce clouds. Veeva includes Vault, PromoMats, eTMF and CTMS. A posting that names several platforms is counted once for each.</t>
        </is>
      </c>
    </row>
    <row r="10">
      <c r="A10" s="2" t="inlineStr">
        <is>
          <t>Platform (named anywhere), Zephyr Dynamics positions only</t>
        </is>
      </c>
      <c r="B10" s="2" t="inlineStr">
        <is>
          <t>Total</t>
        </is>
      </c>
      <c r="C10" s="2" t="inlineStr">
        <is>
          <t>Closed</t>
        </is>
      </c>
      <c r="D10" s="2" t="inlineStr">
        <is>
          <t>Open</t>
        </is>
      </c>
      <c r="E10" s="2" t="inlineStr">
        <is>
          <t>Build role</t>
        </is>
      </c>
      <c r="F10" s="2" t="inlineStr">
        <is>
          <t>Admin and owner role</t>
        </is>
      </c>
      <c r="G10" s="2" t="inlineStr">
        <is>
          <t>Working tool</t>
        </is>
      </c>
      <c r="H10" s="2" t="inlineStr">
        <is>
          <t>User role</t>
        </is>
      </c>
    </row>
    <row r="11">
      <c r="A11" s="55" t="inlineStr">
        <is>
          <t>Salesforce</t>
        </is>
      </c>
      <c r="B11" s="119">
        <f>COUNTIFS(Jobs!$C$2:$C$2,"*Salesforce*",Jobs!$J$2:$J$2,"Zephyr Dynamics*")</f>
        <v/>
      </c>
      <c r="C11" s="119">
        <f>COUNTIFS(Jobs!$C$2:$C$2,"*Salesforce*",Jobs!$J$2:$J$2,"Zephyr Dynamics*",Jobs!$E$2:$E$2,"Closed")</f>
        <v/>
      </c>
      <c r="D11" s="119">
        <f>COUNTIFS(Jobs!$C$2:$C$2,"*Salesforce*",Jobs!$J$2:$J$2,"Zephyr Dynamics*",Jobs!$E$2:$E$2,"Open")</f>
        <v/>
      </c>
      <c r="E11" s="119">
        <f>COUNTIFS(Jobs!$C$2:$C$2,"*Salesforce*",Jobs!$J$2:$J$2,"Zephyr Dynamics*",Jobs!$D$2:$D$2,"Build role")</f>
        <v/>
      </c>
      <c r="F11" s="119">
        <f>COUNTIFS(Jobs!$C$2:$C$2,"*Salesforce*",Jobs!$J$2:$J$2,"Zephyr Dynamics*",Jobs!$D$2:$D$2,"Admin and owner role")</f>
        <v/>
      </c>
      <c r="G11" s="119">
        <f>COUNTIFS(Jobs!$C$2:$C$2,"*Salesforce*",Jobs!$J$2:$J$2,"Zephyr Dynamics*",Jobs!$D$2:$D$2,"Working tool")</f>
        <v/>
      </c>
      <c r="H11" s="119">
        <f>COUNTIFS(Jobs!$C$2:$C$2,"*Salesforce*",Jobs!$J$2:$J$2,"Zephyr Dynamics*",Jobs!$D$2:$D$2,"User role")</f>
        <v/>
      </c>
    </row>
    <row r="12">
      <c r="A12" s="55" t="inlineStr">
        <is>
          <t>MuleSoft</t>
        </is>
      </c>
      <c r="B12" s="119">
        <f>COUNTIFS(Jobs!$C$2:$C$2,"*MuleSoft*",Jobs!$J$2:$J$2,"Zephyr Dynamics*")</f>
        <v/>
      </c>
      <c r="C12" s="119">
        <f>COUNTIFS(Jobs!$C$2:$C$2,"*MuleSoft*",Jobs!$J$2:$J$2,"Zephyr Dynamics*",Jobs!$E$2:$E$2,"Closed")</f>
        <v/>
      </c>
      <c r="D12" s="119">
        <f>COUNTIFS(Jobs!$C$2:$C$2,"*MuleSoft*",Jobs!$J$2:$J$2,"Zephyr Dynamics*",Jobs!$E$2:$E$2,"Open")</f>
        <v/>
      </c>
      <c r="E12" s="119">
        <f>COUNTIFS(Jobs!$C$2:$C$2,"*MuleSoft*",Jobs!$J$2:$J$2,"Zephyr Dynamics*",Jobs!$D$2:$D$2,"Build role")</f>
        <v/>
      </c>
      <c r="F12" s="119">
        <f>COUNTIFS(Jobs!$C$2:$C$2,"*MuleSoft*",Jobs!$J$2:$J$2,"Zephyr Dynamics*",Jobs!$D$2:$D$2,"Admin and owner role")</f>
        <v/>
      </c>
      <c r="G12" s="119">
        <f>COUNTIFS(Jobs!$C$2:$C$2,"*MuleSoft*",Jobs!$J$2:$J$2,"Zephyr Dynamics*",Jobs!$D$2:$D$2,"Working tool")</f>
        <v/>
      </c>
      <c r="H12" s="119">
        <f>COUNTIFS(Jobs!$C$2:$C$2,"*MuleSoft*",Jobs!$J$2:$J$2,"Zephyr Dynamics*",Jobs!$D$2:$D$2,"User role")</f>
        <v/>
      </c>
    </row>
    <row r="13">
      <c r="A13" s="55" t="inlineStr">
        <is>
          <t>ServiceNow</t>
        </is>
      </c>
      <c r="B13" s="119">
        <f>COUNTIFS(Jobs!$C$2:$C$2,"*ServiceNow*",Jobs!$J$2:$J$2,"Zephyr Dynamics*")</f>
        <v/>
      </c>
      <c r="C13" s="119">
        <f>COUNTIFS(Jobs!$C$2:$C$2,"*ServiceNow*",Jobs!$J$2:$J$2,"Zephyr Dynamics*",Jobs!$E$2:$E$2,"Closed")</f>
        <v/>
      </c>
      <c r="D13" s="119">
        <f>COUNTIFS(Jobs!$C$2:$C$2,"*ServiceNow*",Jobs!$J$2:$J$2,"Zephyr Dynamics*",Jobs!$E$2:$E$2,"Open")</f>
        <v/>
      </c>
      <c r="E13" s="119">
        <f>COUNTIFS(Jobs!$C$2:$C$2,"*ServiceNow*",Jobs!$J$2:$J$2,"Zephyr Dynamics*",Jobs!$D$2:$D$2,"Build role")</f>
        <v/>
      </c>
      <c r="F13" s="119">
        <f>COUNTIFS(Jobs!$C$2:$C$2,"*ServiceNow*",Jobs!$J$2:$J$2,"Zephyr Dynamics*",Jobs!$D$2:$D$2,"Admin and owner role")</f>
        <v/>
      </c>
      <c r="G13" s="119">
        <f>COUNTIFS(Jobs!$C$2:$C$2,"*ServiceNow*",Jobs!$J$2:$J$2,"Zephyr Dynamics*",Jobs!$D$2:$D$2,"Working tool")</f>
        <v/>
      </c>
      <c r="H13" s="119">
        <f>COUNTIFS(Jobs!$C$2:$C$2,"*ServiceNow*",Jobs!$J$2:$J$2,"Zephyr Dynamics*",Jobs!$D$2:$D$2,"User role")</f>
        <v/>
      </c>
    </row>
    <row r="14">
      <c r="A14" s="55" t="inlineStr">
        <is>
          <t>SAP</t>
        </is>
      </c>
      <c r="B14" s="119">
        <f>COUNTIFS(Jobs!$C$2:$C$2,"*SAP*",Jobs!$J$2:$J$2,"Zephyr Dynamics*")</f>
        <v/>
      </c>
      <c r="C14" s="119">
        <f>COUNTIFS(Jobs!$C$2:$C$2,"*SAP*",Jobs!$J$2:$J$2,"Zephyr Dynamics*",Jobs!$E$2:$E$2,"Closed")</f>
        <v/>
      </c>
      <c r="D14" s="119">
        <f>COUNTIFS(Jobs!$C$2:$C$2,"*SAP*",Jobs!$J$2:$J$2,"Zephyr Dynamics*",Jobs!$E$2:$E$2,"Open")</f>
        <v/>
      </c>
      <c r="E14" s="119">
        <f>COUNTIFS(Jobs!$C$2:$C$2,"*SAP*",Jobs!$J$2:$J$2,"Zephyr Dynamics*",Jobs!$D$2:$D$2,"Build role")</f>
        <v/>
      </c>
      <c r="F14" s="119">
        <f>COUNTIFS(Jobs!$C$2:$C$2,"*SAP*",Jobs!$J$2:$J$2,"Zephyr Dynamics*",Jobs!$D$2:$D$2,"Admin and owner role")</f>
        <v/>
      </c>
      <c r="G14" s="119">
        <f>COUNTIFS(Jobs!$C$2:$C$2,"*SAP*",Jobs!$J$2:$J$2,"Zephyr Dynamics*",Jobs!$D$2:$D$2,"Working tool")</f>
        <v/>
      </c>
      <c r="H14" s="119">
        <f>COUNTIFS(Jobs!$C$2:$C$2,"*SAP*",Jobs!$J$2:$J$2,"Zephyr Dynamics*",Jobs!$D$2:$D$2,"User role")</f>
        <v/>
      </c>
    </row>
    <row r="15">
      <c r="A15" s="55" t="inlineStr">
        <is>
          <t>Tableau</t>
        </is>
      </c>
      <c r="B15" s="119">
        <f>COUNTIFS(Jobs!$C$2:$C$2,"*Tableau*",Jobs!$J$2:$J$2,"Zephyr Dynamics*")</f>
        <v/>
      </c>
      <c r="C15" s="119">
        <f>COUNTIFS(Jobs!$C$2:$C$2,"*Tableau*",Jobs!$J$2:$J$2,"Zephyr Dynamics*",Jobs!$E$2:$E$2,"Closed")</f>
        <v/>
      </c>
      <c r="D15" s="119">
        <f>COUNTIFS(Jobs!$C$2:$C$2,"*Tableau*",Jobs!$J$2:$J$2,"Zephyr Dynamics*",Jobs!$E$2:$E$2,"Open")</f>
        <v/>
      </c>
      <c r="E15" s="119">
        <f>COUNTIFS(Jobs!$C$2:$C$2,"*Tableau*",Jobs!$J$2:$J$2,"Zephyr Dynamics*",Jobs!$D$2:$D$2,"Build role")</f>
        <v/>
      </c>
      <c r="F15" s="119">
        <f>COUNTIFS(Jobs!$C$2:$C$2,"*Tableau*",Jobs!$J$2:$J$2,"Zephyr Dynamics*",Jobs!$D$2:$D$2,"Admin and owner role")</f>
        <v/>
      </c>
      <c r="G15" s="119">
        <f>COUNTIFS(Jobs!$C$2:$C$2,"*Tableau*",Jobs!$J$2:$J$2,"Zephyr Dynamics*",Jobs!$D$2:$D$2,"Working tool")</f>
        <v/>
      </c>
      <c r="H15" s="119">
        <f>COUNTIFS(Jobs!$C$2:$C$2,"*Tableau*",Jobs!$J$2:$J$2,"Zephyr Dynamics*",Jobs!$D$2:$D$2,"User role")</f>
        <v/>
      </c>
    </row>
    <row r="16">
      <c r="A16" s="55" t="inlineStr">
        <is>
          <t>Veeva</t>
        </is>
      </c>
      <c r="B16" s="119">
        <f>COUNTIFS(Jobs!$C$2:$C$2,"*Veeva*",Jobs!$J$2:$J$2,"Zephyr Dynamics*")</f>
        <v/>
      </c>
      <c r="C16" s="119">
        <f>COUNTIFS(Jobs!$C$2:$C$2,"*Veeva*",Jobs!$J$2:$J$2,"Zephyr Dynamics*",Jobs!$E$2:$E$2,"Closed")</f>
        <v/>
      </c>
      <c r="D16" s="119">
        <f>COUNTIFS(Jobs!$C$2:$C$2,"*Veeva*",Jobs!$J$2:$J$2,"Zephyr Dynamics*",Jobs!$E$2:$E$2,"Open")</f>
        <v/>
      </c>
      <c r="E16" s="119">
        <f>COUNTIFS(Jobs!$C$2:$C$2,"*Veeva*",Jobs!$J$2:$J$2,"Zephyr Dynamics*",Jobs!$D$2:$D$2,"Build role")</f>
        <v/>
      </c>
      <c r="F16" s="119">
        <f>COUNTIFS(Jobs!$C$2:$C$2,"*Veeva*",Jobs!$J$2:$J$2,"Zephyr Dynamics*",Jobs!$D$2:$D$2,"Admin and owner role")</f>
        <v/>
      </c>
      <c r="G16" s="119">
        <f>COUNTIFS(Jobs!$C$2:$C$2,"*Veeva*",Jobs!$J$2:$J$2,"Zephyr Dynamics*",Jobs!$D$2:$D$2,"Working tool")</f>
        <v/>
      </c>
      <c r="H16" s="119">
        <f>COUNTIFS(Jobs!$C$2:$C$2,"*Veeva*",Jobs!$J$2:$J$2,"Zephyr Dynamics*",Jobs!$D$2:$D$2,"User role")</f>
        <v/>
      </c>
    </row>
    <row r="17">
      <c r="A17" s="55" t="inlineStr">
        <is>
          <t>Workday</t>
        </is>
      </c>
      <c r="B17" s="119">
        <f>COUNTIFS(Jobs!$C$2:$C$2,"*Workday*",Jobs!$J$2:$J$2,"Zephyr Dynamics*")</f>
        <v/>
      </c>
      <c r="C17" s="119">
        <f>COUNTIFS(Jobs!$C$2:$C$2,"*Workday*",Jobs!$J$2:$J$2,"Zephyr Dynamics*",Jobs!$E$2:$E$2,"Closed")</f>
        <v/>
      </c>
      <c r="D17" s="119">
        <f>COUNTIFS(Jobs!$C$2:$C$2,"*Workday*",Jobs!$J$2:$J$2,"Zephyr Dynamics*",Jobs!$E$2:$E$2,"Open")</f>
        <v/>
      </c>
      <c r="E17" s="119">
        <f>COUNTIFS(Jobs!$C$2:$C$2,"*Workday*",Jobs!$J$2:$J$2,"Zephyr Dynamics*",Jobs!$D$2:$D$2,"Build role")</f>
        <v/>
      </c>
      <c r="F17" s="119">
        <f>COUNTIFS(Jobs!$C$2:$C$2,"*Workday*",Jobs!$J$2:$J$2,"Zephyr Dynamics*",Jobs!$D$2:$D$2,"Admin and owner role")</f>
        <v/>
      </c>
      <c r="G17" s="119">
        <f>COUNTIFS(Jobs!$C$2:$C$2,"*Workday*",Jobs!$J$2:$J$2,"Zephyr Dynamics*",Jobs!$D$2:$D$2,"Working tool")</f>
        <v/>
      </c>
      <c r="H17" s="119">
        <f>COUNTIFS(Jobs!$C$2:$C$2,"*Workday*",Jobs!$J$2:$J$2,"Zephyr Dynamics*",Jobs!$D$2:$D$2,"User role")</f>
        <v/>
      </c>
    </row>
    <row r="19">
      <c r="A19" s="55" t="inlineStr">
        <is>
          <t>Rows on the Jobs sheet (all entities)</t>
        </is>
      </c>
      <c r="B19" s="119">
        <f>COUNTA(Jobs!$B$2:$B$2)</f>
        <v/>
      </c>
    </row>
    <row r="20">
      <c r="A20" s="55" t="inlineStr">
        <is>
          <t>Rows that are Zephyr Dynamics positions</t>
        </is>
      </c>
      <c r="B20" s="119">
        <f>COUNTIF(Jobs!$J$2:$J$2,"Zephyr Dynamics*")</f>
        <v/>
      </c>
    </row>
    <row r="21">
      <c r="A21" s="55" t="inlineStr">
        <is>
          <t>Rows that are other entities (a divested business or another website)</t>
        </is>
      </c>
      <c r="B21" s="119">
        <f>COUNTA(Jobs!$B$2:$B$2)-COUNTIF(Jobs!$J$2:$J$2,"Zephyr Dynamics*")</f>
        <v/>
      </c>
    </row>
  </sheetData>
  <mergeCells count="5">
    <mergeCell ref="A4:H4"/>
    <mergeCell ref="A3:H3"/>
    <mergeCell ref="A7:H7"/>
    <mergeCell ref="A5:H5"/>
    <mergeCell ref="A6:H6"/>
  </mergeCells>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R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4" customWidth="1" min="2" max="2"/>
    <col width="18" customWidth="1" min="3" max="3"/>
    <col width="20" customWidth="1" min="4" max="4"/>
    <col width="9" customWidth="1" min="5" max="5"/>
    <col width="11" customWidth="1" min="6" max="6"/>
    <col width="11" customWidth="1" min="7" max="7"/>
    <col width="26" customWidth="1" min="8" max="8"/>
    <col width="11" customWidth="1" min="9" max="9"/>
    <col width="26" customWidth="1" min="10" max="10"/>
    <col width="50" customWidth="1" min="11" max="11"/>
    <col width="70" customWidth="1" min="12" max="12"/>
    <col width="60" customWidth="1" min="13" max="13"/>
    <col width="13" customWidth="1" min="14" max="14"/>
    <col width="16" customWidth="1" min="15" max="15"/>
    <col width="14" customWidth="1" min="16" max="16"/>
    <col width="9" customWidth="1" min="17" max="17"/>
    <col width="10" customWidth="1" min="18" max="18"/>
  </cols>
  <sheetData>
    <row r="1">
      <c r="A1" s="1" t="inlineStr">
        <is>
          <t>Requisition</t>
        </is>
      </c>
      <c r="B1" s="1" t="inlineStr">
        <is>
          <t>Title</t>
        </is>
      </c>
      <c r="C1" s="1" t="inlineStr">
        <is>
          <t>Platforms named</t>
        </is>
      </c>
      <c r="D1" s="1" t="inlineStr">
        <is>
          <t>Class</t>
        </is>
      </c>
      <c r="E1" s="1" t="inlineStr">
        <is>
          <t>Status</t>
        </is>
      </c>
      <c r="F1" s="1" t="inlineStr">
        <is>
          <t>First seen</t>
        </is>
      </c>
      <c r="G1" s="1" t="inlineStr">
        <is>
          <t>Last seen</t>
        </is>
      </c>
      <c r="H1" s="1" t="inlineStr">
        <is>
          <t>Location</t>
        </is>
      </c>
      <c r="I1" s="1" t="inlineStr">
        <is>
          <t>Seniority</t>
        </is>
      </c>
      <c r="J1" s="1" t="inlineStr">
        <is>
          <t>Entity</t>
        </is>
      </c>
      <c r="K1" s="1" t="inlineStr">
        <is>
          <t>What the posting says (read)</t>
        </is>
      </c>
      <c r="L1" s="1" t="inlineStr">
        <is>
          <t>Platform sentences</t>
        </is>
      </c>
      <c r="M1" s="1" t="inlineStr">
        <is>
          <t>Full description</t>
        </is>
      </c>
      <c r="N1" s="1" t="inlineStr">
        <is>
          <t>Link</t>
        </is>
      </c>
      <c r="O1" s="1" t="inlineStr">
        <is>
          <t>Archived link</t>
        </is>
      </c>
      <c r="P1" s="1" t="inlineStr">
        <is>
          <t>New since last research</t>
        </is>
      </c>
      <c r="Q1" s="1" t="inlineStr">
        <is>
          <t>Ref</t>
        </is>
      </c>
      <c r="R1" s="1" t="inlineStr">
        <is>
          <t>Source code</t>
        </is>
      </c>
    </row>
    <row r="3">
      <c r="A3" s="4" t="inlineStr">
        <is>
          <t>None found. The coverage tracker records what was searched and with what result.</t>
        </is>
      </c>
    </row>
  </sheetData>
  <autoFilter ref="A1:R1"/>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C54"/>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30" customWidth="1" min="3" max="3"/>
  </cols>
  <sheetData>
    <row r="1">
      <c r="A1" s="1" t="inlineStr">
        <is>
          <t>Count</t>
        </is>
      </c>
      <c r="B1" s="1" t="inlineStr">
        <is>
          <t>Value</t>
        </is>
      </c>
      <c r="C1" s="1" t="inlineStr">
        <is>
          <t>Base</t>
        </is>
      </c>
    </row>
    <row r="2">
      <c r="A2" s="55" t="inlineStr">
        <is>
          <t>Postings in this file</t>
        </is>
      </c>
      <c r="B2" s="119">
        <f>COUNTA('Jobs'!Q2:Q2)</f>
        <v/>
      </c>
      <c r="C2" s="55" t="inlineStr">
        <is>
          <t>postings listed on the Jobs sheet</t>
        </is>
      </c>
    </row>
    <row r="3">
      <c r="A3" s="55" t="inlineStr">
        <is>
          <t>Postings in this file with status Open</t>
        </is>
      </c>
      <c r="B3" s="119">
        <f>COUNTIF('Jobs'!E2:E2,"Open")</f>
        <v/>
      </c>
      <c r="C3" s="55" t="inlineStr">
        <is>
          <t>postings listed on the Jobs sheet</t>
        </is>
      </c>
    </row>
    <row r="4">
      <c r="A4" s="55" t="inlineStr">
        <is>
          <t>Postings in this file with status Closed</t>
        </is>
      </c>
      <c r="B4" s="119">
        <f>COUNTIF('Jobs'!E2:E2,"Closed")</f>
        <v/>
      </c>
      <c r="C4" s="55" t="inlineStr">
        <is>
          <t>postings listed on the Jobs sheet</t>
        </is>
      </c>
    </row>
    <row r="5">
      <c r="A5" s="55" t="inlineStr">
        <is>
          <t>Postings not listed (no posting link)</t>
        </is>
      </c>
      <c r="B5" s="119" t="n">
        <v>0</v>
      </c>
      <c r="C5" s="55" t="inlineStr">
        <is>
          <t>postings recorded for this run</t>
        </is>
      </c>
    </row>
    <row r="6">
      <c r="A6" s="55" t="inlineStr">
        <is>
          <t>Records pulled</t>
        </is>
      </c>
      <c r="B6" s="119" t="n">
        <v>11</v>
      </c>
      <c r="C6" s="55" t="inlineStr">
        <is>
          <t>raw records returned before dedupe</t>
        </is>
      </c>
    </row>
    <row r="7">
      <c r="A7" s="55" t="inlineStr">
        <is>
          <t>Distinct postings</t>
        </is>
      </c>
      <c r="B7" s="119" t="n">
        <v>1</v>
      </c>
      <c r="C7" s="55" t="inlineStr">
        <is>
          <t>records pulled, after dedupe</t>
        </is>
      </c>
    </row>
    <row r="8">
      <c r="A8" s="55" t="inlineStr">
        <is>
          <t>Postings analysed</t>
        </is>
      </c>
      <c r="B8" s="119" t="n">
        <v>1</v>
      </c>
      <c r="C8" s="55" t="inlineStr">
        <is>
          <t>distinct postings in the 12 month window or undated</t>
        </is>
      </c>
    </row>
    <row r="9">
      <c r="A9" s="55" t="inlineStr">
        <is>
          <t>Undated postings analysed</t>
        </is>
      </c>
      <c r="B9" s="119" t="n">
        <v>0</v>
      </c>
      <c r="C9" s="55" t="inlineStr">
        <is>
          <t>postings analysed</t>
        </is>
      </c>
    </row>
    <row r="10">
      <c r="A10" s="55" t="inlineStr">
        <is>
          <t>Postings outside the window</t>
        </is>
      </c>
      <c r="B10" s="119" t="n">
        <v>0</v>
      </c>
      <c r="C10" s="55" t="inlineStr">
        <is>
          <t>distinct postings</t>
        </is>
      </c>
    </row>
    <row r="11">
      <c r="A11" s="55" t="inlineStr">
        <is>
          <t>Postings naming a platform</t>
        </is>
      </c>
      <c r="B11" s="119" t="n">
        <v>1</v>
      </c>
      <c r="C11" s="55" t="inlineStr">
        <is>
          <t>postings analysed</t>
        </is>
      </c>
    </row>
    <row r="12">
      <c r="A12" s="55" t="inlineStr">
        <is>
          <t>Matched postings read</t>
        </is>
      </c>
      <c r="B12" s="119" t="n">
        <v>0</v>
      </c>
      <c r="C12" s="55" t="inlineStr">
        <is>
          <t>postings naming a platform</t>
        </is>
      </c>
    </row>
    <row r="13">
      <c r="A13" s="55" t="inlineStr">
        <is>
          <t>Read postings open</t>
        </is>
      </c>
      <c r="B13" s="119" t="n">
        <v>0</v>
      </c>
      <c r="C13" s="55" t="inlineStr">
        <is>
          <t>matched postings read</t>
        </is>
      </c>
    </row>
    <row r="14">
      <c r="A14" s="55" t="inlineStr">
        <is>
          <t>Read postings closed</t>
        </is>
      </c>
      <c r="B14" s="119" t="n">
        <v>0</v>
      </c>
      <c r="C14" s="55" t="inlineStr">
        <is>
          <t>matched postings read</t>
        </is>
      </c>
    </row>
    <row r="15">
      <c r="A15" s="55" t="inlineStr">
        <is>
          <t>Read postings classed admin owner</t>
        </is>
      </c>
      <c r="B15" s="119" t="n">
        <v>0</v>
      </c>
      <c r="C15" s="55" t="inlineStr">
        <is>
          <t>matched postings read</t>
        </is>
      </c>
    </row>
    <row r="16">
      <c r="A16" s="55" t="inlineStr">
        <is>
          <t>Read postings classed build</t>
        </is>
      </c>
      <c r="B16" s="119" t="n">
        <v>0</v>
      </c>
      <c r="C16" s="55" t="inlineStr">
        <is>
          <t>matched postings read</t>
        </is>
      </c>
    </row>
    <row r="17">
      <c r="A17" s="55" t="inlineStr">
        <is>
          <t>Read postings classed unclassified</t>
        </is>
      </c>
      <c r="B17" s="119" t="n">
        <v>0</v>
      </c>
      <c r="C17" s="55" t="inlineStr">
        <is>
          <t>matched postings read</t>
        </is>
      </c>
    </row>
    <row r="18">
      <c r="A18" s="55" t="inlineStr">
        <is>
          <t>Read postings classed user</t>
        </is>
      </c>
      <c r="B18" s="119" t="n">
        <v>0</v>
      </c>
      <c r="C18" s="55" t="inlineStr">
        <is>
          <t>matched postings read</t>
        </is>
      </c>
    </row>
    <row r="19">
      <c r="A19" s="55" t="inlineStr">
        <is>
          <t>Read postings classed working tool</t>
        </is>
      </c>
      <c r="B19" s="119" t="n">
        <v>0</v>
      </c>
      <c r="C19" s="55" t="inlineStr">
        <is>
          <t>matched postings read</t>
        </is>
      </c>
    </row>
    <row r="21">
      <c r="A21" s="4" t="inlineStr">
        <is>
          <t>0 postings read of 1 matched (0 open and 0 closed of the 0 read)</t>
        </is>
      </c>
    </row>
    <row r="22">
      <c r="A22" s="4" t="inlineStr">
        <is>
          <t>AWS: 0 postings read of 0 matched (0 open and 0 closed of the 0 read)</t>
        </is>
      </c>
    </row>
    <row r="23">
      <c r="A23" s="4" t="inlineStr">
        <is>
          <t>Airflow: 0 postings read of 0 matched (0 open and 0 closed of the 0 read)</t>
        </is>
      </c>
    </row>
    <row r="24">
      <c r="A24" s="4" t="inlineStr">
        <is>
          <t>Apache Spark: 0 postings read of 0 matched (0 open and 0 closed of the 0 read)</t>
        </is>
      </c>
    </row>
    <row r="25">
      <c r="A25" s="4" t="inlineStr">
        <is>
          <t>Azure: 0 postings read of 0 matched (0 open and 0 closed of the 0 read)</t>
        </is>
      </c>
    </row>
    <row r="26">
      <c r="A26" s="4" t="inlineStr">
        <is>
          <t>Azure Data Factory: 0 postings read of 0 matched (0 open and 0 closed of the 0 read)</t>
        </is>
      </c>
    </row>
    <row r="27">
      <c r="A27" s="4" t="inlineStr">
        <is>
          <t>Azure OpenAI: 0 postings read of 0 matched (0 open and 0 closed of the 0 read)</t>
        </is>
      </c>
    </row>
    <row r="28">
      <c r="A28" s="4" t="inlineStr">
        <is>
          <t>Azure Synapse: 0 postings read of 0 matched (0 open and 0 closed of the 0 read)</t>
        </is>
      </c>
    </row>
    <row r="29">
      <c r="A29" s="4" t="inlineStr">
        <is>
          <t>BigQuery: 0 postings read of 0 matched (0 open and 0 closed of the 0 read)</t>
        </is>
      </c>
    </row>
    <row r="30">
      <c r="A30" s="4" t="inlineStr">
        <is>
          <t>Generative AI: 0 postings read of 0 matched (0 open and 0 closed of the 0 read)</t>
        </is>
      </c>
    </row>
    <row r="31">
      <c r="A31" s="4" t="inlineStr">
        <is>
          <t>Google Cloud: 0 postings read of 0 matched (0 open and 0 closed of the 0 read)</t>
        </is>
      </c>
    </row>
    <row r="32">
      <c r="A32" s="4" t="inlineStr">
        <is>
          <t>Informatica: 0 postings read of 0 matched (0 open and 0 closed of the 0 read)</t>
        </is>
      </c>
    </row>
    <row r="33">
      <c r="A33" s="4" t="inlineStr">
        <is>
          <t>Kafka: 0 postings read of 0 matched (0 open and 0 closed of the 0 read)</t>
        </is>
      </c>
    </row>
    <row r="34">
      <c r="A34" s="4" t="inlineStr">
        <is>
          <t>LangChain: 0 postings read of 0 matched (0 open and 0 closed of the 0 read)</t>
        </is>
      </c>
    </row>
    <row r="35">
      <c r="A35" s="4" t="inlineStr">
        <is>
          <t>Looker: 0 postings read of 0 matched (0 open and 0 closed of the 0 read)</t>
        </is>
      </c>
    </row>
    <row r="36">
      <c r="A36" s="4" t="inlineStr">
        <is>
          <t>MLflow: 0 postings read of 0 matched (0 open and 0 closed of the 0 read)</t>
        </is>
      </c>
    </row>
    <row r="37">
      <c r="A37" s="4" t="inlineStr">
        <is>
          <t>MicroStrategy: 0 postings read of 0 matched (0 open and 0 closed of the 0 read)</t>
        </is>
      </c>
    </row>
    <row r="38">
      <c r="A38" s="4" t="inlineStr">
        <is>
          <t>Microsoft Fabric: 0 postings read of 0 matched (0 open and 0 closed of the 0 read)</t>
        </is>
      </c>
    </row>
    <row r="39">
      <c r="A39" s="4" t="inlineStr">
        <is>
          <t>MuleSoft: 0 postings read of 0 matched (0 open and 0 closed of the 0 read)</t>
        </is>
      </c>
    </row>
    <row r="40">
      <c r="A40" s="4" t="inlineStr">
        <is>
          <t>OpenAI: 0 postings read of 0 matched (0 open and 0 closed of the 0 read)</t>
        </is>
      </c>
    </row>
    <row r="41">
      <c r="A41" s="4" t="inlineStr">
        <is>
          <t>Palantir: 0 postings read of 0 matched (0 open and 0 closed of the 0 read)</t>
        </is>
      </c>
    </row>
    <row r="42">
      <c r="A42" s="4" t="inlineStr">
        <is>
          <t>Power BI: 0 postings read of 0 matched (0 open and 0 closed of the 0 read)</t>
        </is>
      </c>
    </row>
    <row r="43">
      <c r="A43" s="4" t="inlineStr">
        <is>
          <t>Qlik: 0 postings read of 0 matched (0 open and 0 closed of the 0 read)</t>
        </is>
      </c>
    </row>
    <row r="44">
      <c r="A44" s="4" t="inlineStr">
        <is>
          <t>Redshift: 0 postings read of 0 matched (0 open and 0 closed of the 0 read)</t>
        </is>
      </c>
    </row>
    <row r="45">
      <c r="A45" s="4" t="inlineStr">
        <is>
          <t>SAP: 0 postings read of 0 matched (0 open and 0 closed of the 0 read)</t>
        </is>
      </c>
    </row>
    <row r="46">
      <c r="A46" s="4" t="inlineStr">
        <is>
          <t>SageMaker: 0 postings read of 0 matched (0 open and 0 closed of the 0 read)</t>
        </is>
      </c>
    </row>
    <row r="47">
      <c r="A47" s="4" t="inlineStr">
        <is>
          <t>Salesforce: 0 postings read of 1 matched (0 open and 0 closed of the 0 read)</t>
        </is>
      </c>
    </row>
    <row r="48">
      <c r="A48" s="4" t="inlineStr">
        <is>
          <t>ServiceNow: 0 postings read of 0 matched (0 open and 0 closed of the 0 read)</t>
        </is>
      </c>
    </row>
    <row r="49">
      <c r="A49" s="4" t="inlineStr">
        <is>
          <t>Snowflake: 0 postings read of 0 matched (0 open and 0 closed of the 0 read)</t>
        </is>
      </c>
    </row>
    <row r="50">
      <c r="A50" s="4" t="inlineStr">
        <is>
          <t>Tableau: 0 postings read of 0 matched (0 open and 0 closed of the 0 read)</t>
        </is>
      </c>
    </row>
    <row r="51">
      <c r="A51" s="4" t="inlineStr">
        <is>
          <t>Veeva: 0 postings read of 0 matched (0 open and 0 closed of the 0 read)</t>
        </is>
      </c>
    </row>
    <row r="52">
      <c r="A52" s="4" t="inlineStr">
        <is>
          <t>Vertex AI: 0 postings read of 0 matched (0 open and 0 closed of the 0 read)</t>
        </is>
      </c>
    </row>
    <row r="53">
      <c r="A53" s="4" t="inlineStr">
        <is>
          <t>Workday: 0 postings read of 0 matched (0 open and 0 closed of the 0 read)</t>
        </is>
      </c>
    </row>
    <row r="54">
      <c r="A54" s="4" t="inlineStr">
        <is>
          <t>dbt: 0 postings read of 0 matched (0 open and 0 closed of the 0 read)</t>
        </is>
      </c>
    </row>
  </sheetData>
  <autoFilter ref="A1:C19"/>
  <pageMargins left="0.75" right="0.75" top="1" bottom="1" header="0.5" footer="0.5"/>
  <pageSetup orientation="landscape" paperSize="1" fitToHeight="0" fitToWidth="1"/>
</worksheet>
</file>

<file path=xl/worksheets/sheet4.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2" customWidth="1" min="3" max="3"/>
    <col width="12" customWidth="1" min="4" max="4"/>
    <col width="80" customWidth="1" min="5" max="5"/>
  </cols>
  <sheetData>
    <row r="1">
      <c r="A1" s="1" t="inlineStr">
        <is>
          <t>Ref</t>
        </is>
      </c>
      <c r="B1" s="1" t="inlineStr">
        <is>
          <t>Column</t>
        </is>
      </c>
      <c r="C1" s="1" t="inlineStr">
        <is>
          <t>Part</t>
        </is>
      </c>
      <c r="D1" s="1" t="inlineStr">
        <is>
          <t>Of</t>
        </is>
      </c>
      <c r="E1" s="1" t="inlineStr">
        <is>
          <t>Text</t>
        </is>
      </c>
    </row>
  </sheetData>
  <autoFilter ref="A1:E1"/>
  <pageMargins left="0.75" right="0.75" top="1" bottom="1" header="0.5" footer="0.5"/>
  <pageSetup orientation="landscape" paperSize="1" fitToHeight="0" fitToWidth="1"/>
</worksheet>
</file>

<file path=docProps/app.xml><?xml version="1.0" encoding="utf-8"?>
<Properties xmlns="http://schemas.openxmlformats.org/officeDocument/2006/extended-properties" xmlns:vt="http://schemas.openxmlformats.org/officeDocument/2006/docPropsVTypes">
  <Company>6th agents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Zephyr Dynamics Job Postings</dc:title>
  <dc:creator>6th agents</dc:creator>
  <cp:lastModifiedBy>6th agents</cp:lastModifiedBy>
  <dcterms:created xsi:type="dcterms:W3CDTF">2026-10-29T00:00:00Z</dcterms:created>
  <dcterms:modified xsi:type="dcterms:W3CDTF">2026-10-29T00:00:00Z</dcterms:modified>
</cp:coreProperties>
</file>