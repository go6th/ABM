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ople" sheetId="2" state="visible" r:id="rId2"/>
  </sheets>
  <definedNames>
    <definedName name="_xlnm._FilterDatabase" localSheetId="1" hidden="1">'People'!$A$1:$O$1</definedName>
  </definedNames>
  <calcPr calcId="124519" fullCalcOnLoad="1"/>
</workbook>
</file>

<file path=xl/styles.xml><?xml version="1.0" encoding="utf-8"?>
<styleSheet xmlns="http://schemas.openxmlformats.org/spreadsheetml/2006/main">
  <numFmts count="1">
    <numFmt numFmtId="164" formatCode="yyyy-mm-dd"/>
  </numFmts>
  <fonts count="7">
    <font>
      <name val="Arial"/>
      <color rgb="00000000"/>
      <sz val="10"/>
    </font>
    <font>
      <name val="Arial"/>
      <b val="1"/>
      <color rgb="00FFFFFF"/>
      <sz val="10"/>
    </font>
    <font>
      <name val="Arial"/>
      <b val="1"/>
      <color rgb="001F3A5F"/>
      <sz val="14"/>
    </font>
    <font>
      <name val="Arial"/>
      <i val="1"/>
      <color rgb="00000000"/>
      <sz val="9"/>
    </font>
    <font>
      <name val="Arial"/>
      <b val="1"/>
      <color rgb="00000000"/>
      <sz val="10"/>
    </font>
    <font>
      <name val="Arial"/>
      <color rgb="001155CC"/>
      <sz val="10"/>
      <u val="single"/>
    </font>
    <font>
      <name val="Arial"/>
      <b val="1"/>
      <color rgb="001155CC"/>
      <sz val="10"/>
      <u val="single"/>
    </font>
  </fonts>
  <fills count="10">
    <fill>
      <patternFill/>
    </fill>
    <fill>
      <patternFill patternType="gray125"/>
    </fill>
    <fill>
      <patternFill patternType="solid">
        <fgColor rgb="001F3A5F"/>
        <bgColor rgb="001F3A5F"/>
      </patternFill>
    </fill>
    <fill>
      <patternFill patternType="solid">
        <fgColor rgb="00DDEFE0"/>
        <bgColor rgb="00DDEFE0"/>
      </patternFill>
    </fill>
    <fill>
      <patternFill patternType="solid">
        <fgColor rgb="00FFF1CC"/>
        <bgColor rgb="00FFF1CC"/>
      </patternFill>
    </fill>
    <fill>
      <patternFill patternType="solid">
        <fgColor rgb="00EEEEEE"/>
        <bgColor rgb="00EEEEEE"/>
      </patternFill>
    </fill>
    <fill>
      <patternFill patternType="solid">
        <fgColor rgb="00C6EFCE"/>
        <bgColor rgb="00C6EFCE"/>
      </patternFill>
    </fill>
    <fill>
      <patternFill patternType="solid">
        <fgColor rgb="00FFEB9C"/>
        <bgColor rgb="00FFEB9C"/>
      </patternFill>
    </fill>
    <fill>
      <patternFill patternType="solid">
        <fgColor rgb="00E7E6E6"/>
        <bgColor rgb="00E7E6E6"/>
      </patternFill>
    </fill>
    <fill>
      <patternFill patternType="solid">
        <fgColor rgb="00FFF9E6"/>
        <bgColor rgb="00FFF9E6"/>
      </patternFill>
    </fill>
  </fills>
  <borders count="3">
    <border>
      <left/>
      <right/>
      <top/>
      <bottom/>
      <diagonal/>
    </border>
    <border/>
    <border>
      <left style="thin">
        <color rgb="00BFC5CC"/>
      </left>
      <right style="thin">
        <color rgb="00BFC5CC"/>
      </right>
      <top style="thin">
        <color rgb="00BFC5CC"/>
      </top>
      <bottom style="thin">
        <color rgb="00BFC5CC"/>
      </bottom>
    </border>
  </borders>
  <cellStyleXfs count="231">
    <xf numFmtId="0" fontId="0" fillId="0" borderId="0"/>
    <xf numFmtId="49" fontId="1" fillId="2" borderId="1" applyAlignment="1">
      <alignment vertical="center" wrapText="1"/>
    </xf>
    <xf numFmtId="49" fontId="1" fillId="2" borderId="2" applyAlignment="1">
      <alignment vertical="center" wrapText="1"/>
    </xf>
    <xf numFmtId="49" fontId="2" fillId="0" borderId="1" applyAlignment="1">
      <alignment vertical="top"/>
    </xf>
    <xf numFmtId="49" fontId="3" fillId="0" borderId="1" applyAlignment="1">
      <alignment vertical="top"/>
    </xf>
    <xf numFmtId="49" fontId="0" fillId="0" borderId="1" applyAlignment="1">
      <alignment vertical="top" wrapText="1"/>
    </xf>
    <xf numFmtId="49" fontId="3" fillId="0" borderId="1" applyAlignment="1">
      <alignment vertical="top" wrapText="1"/>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164" fontId="0" fillId="0" borderId="2" applyAlignment="1">
      <alignment vertical="top"/>
    </xf>
    <xf numFmtId="164" fontId="0" fillId="3" borderId="2" applyAlignment="1">
      <alignment vertical="top"/>
    </xf>
    <xf numFmtId="164" fontId="0" fillId="4" borderId="2" applyAlignment="1">
      <alignment vertical="top"/>
    </xf>
    <xf numFmtId="164" fontId="0" fillId="5" borderId="2" applyAlignment="1">
      <alignment vertical="top"/>
    </xf>
    <xf numFmtId="164" fontId="0" fillId="6" borderId="2" applyAlignment="1">
      <alignment vertical="top"/>
    </xf>
    <xf numFmtId="164" fontId="0" fillId="7" borderId="2" applyAlignment="1">
      <alignment vertical="top"/>
    </xf>
    <xf numFmtId="164" fontId="0" fillId="8" borderId="2" applyAlignment="1">
      <alignment vertical="top"/>
    </xf>
    <xf numFmtId="164" fontId="0" fillId="9" borderId="2" applyAlignment="1">
      <alignment vertical="top"/>
    </xf>
    <xf numFmtId="164" fontId="4" fillId="0" borderId="2" applyAlignment="1">
      <alignment vertical="top"/>
    </xf>
    <xf numFmtId="164" fontId="4" fillId="3" borderId="2" applyAlignment="1">
      <alignment vertical="top"/>
    </xf>
    <xf numFmtId="164" fontId="4" fillId="4" borderId="2" applyAlignment="1">
      <alignment vertical="top"/>
    </xf>
    <xf numFmtId="164" fontId="4" fillId="5" borderId="2" applyAlignment="1">
      <alignment vertical="top"/>
    </xf>
    <xf numFmtId="164" fontId="4" fillId="6" borderId="2" applyAlignment="1">
      <alignment vertical="top"/>
    </xf>
    <xf numFmtId="164" fontId="4" fillId="7" borderId="2" applyAlignment="1">
      <alignment vertical="top"/>
    </xf>
    <xf numFmtId="164" fontId="4" fillId="8" borderId="2" applyAlignment="1">
      <alignment vertical="top"/>
    </xf>
    <xf numFmtId="164" fontId="4" fillId="9" borderId="2" applyAlignment="1">
      <alignment vertical="top"/>
    </xf>
    <xf numFmtId="1" fontId="0" fillId="0" borderId="2" applyAlignment="1">
      <alignment vertical="top"/>
    </xf>
    <xf numFmtId="1" fontId="0" fillId="3" borderId="2" applyAlignment="1">
      <alignment vertical="top"/>
    </xf>
    <xf numFmtId="1" fontId="0" fillId="4" borderId="2" applyAlignment="1">
      <alignment vertical="top"/>
    </xf>
    <xf numFmtId="1" fontId="0" fillId="5" borderId="2" applyAlignment="1">
      <alignment vertical="top"/>
    </xf>
    <xf numFmtId="1" fontId="0" fillId="6" borderId="2" applyAlignment="1">
      <alignment vertical="top"/>
    </xf>
    <xf numFmtId="1" fontId="0" fillId="7" borderId="2" applyAlignment="1">
      <alignment vertical="top"/>
    </xf>
    <xf numFmtId="1" fontId="0" fillId="8" borderId="2" applyAlignment="1">
      <alignment vertical="top"/>
    </xf>
    <xf numFmtId="1" fontId="0" fillId="9" borderId="2" applyAlignment="1">
      <alignment vertical="top"/>
    </xf>
    <xf numFmtId="1" fontId="4" fillId="0" borderId="2" applyAlignment="1">
      <alignment vertical="top"/>
    </xf>
    <xf numFmtId="1" fontId="4" fillId="3" borderId="2" applyAlignment="1">
      <alignment vertical="top"/>
    </xf>
    <xf numFmtId="1" fontId="4" fillId="4" borderId="2" applyAlignment="1">
      <alignment vertical="top"/>
    </xf>
    <xf numFmtId="1" fontId="4" fillId="5" borderId="2" applyAlignment="1">
      <alignment vertical="top"/>
    </xf>
    <xf numFmtId="1" fontId="4" fillId="6" borderId="2" applyAlignment="1">
      <alignment vertical="top"/>
    </xf>
    <xf numFmtId="1" fontId="4" fillId="7" borderId="2" applyAlignment="1">
      <alignment vertical="top"/>
    </xf>
    <xf numFmtId="1" fontId="4" fillId="8" borderId="2" applyAlignment="1">
      <alignment vertical="top"/>
    </xf>
    <xf numFmtId="1" fontId="4" fillId="9" borderId="2" applyAlignment="1">
      <alignment vertical="top"/>
    </xf>
    <xf numFmtId="9" fontId="0" fillId="0" borderId="2" applyAlignment="1">
      <alignment vertical="top"/>
    </xf>
    <xf numFmtId="9" fontId="0" fillId="3" borderId="2" applyAlignment="1">
      <alignment vertical="top"/>
    </xf>
    <xf numFmtId="9" fontId="0" fillId="4" borderId="2" applyAlignment="1">
      <alignment vertical="top"/>
    </xf>
    <xf numFmtId="9" fontId="0" fillId="5" borderId="2" applyAlignment="1">
      <alignment vertical="top"/>
    </xf>
    <xf numFmtId="9" fontId="0" fillId="6" borderId="2" applyAlignment="1">
      <alignment vertical="top"/>
    </xf>
    <xf numFmtId="9" fontId="0" fillId="7" borderId="2" applyAlignment="1">
      <alignment vertical="top"/>
    </xf>
    <xf numFmtId="9" fontId="0" fillId="8" borderId="2" applyAlignment="1">
      <alignment vertical="top"/>
    </xf>
    <xf numFmtId="9" fontId="0" fillId="9" borderId="2" applyAlignment="1">
      <alignment vertical="top"/>
    </xf>
    <xf numFmtId="9" fontId="4" fillId="0" borderId="2" applyAlignment="1">
      <alignment vertical="top"/>
    </xf>
    <xf numFmtId="9" fontId="4" fillId="3" borderId="2" applyAlignment="1">
      <alignment vertical="top"/>
    </xf>
    <xf numFmtId="9" fontId="4" fillId="4" borderId="2" applyAlignment="1">
      <alignment vertical="top"/>
    </xf>
    <xf numFmtId="9" fontId="4" fillId="5" borderId="2" applyAlignment="1">
      <alignment vertical="top"/>
    </xf>
    <xf numFmtId="9" fontId="4" fillId="6" borderId="2" applyAlignment="1">
      <alignment vertical="top"/>
    </xf>
    <xf numFmtId="9" fontId="4" fillId="7" borderId="2" applyAlignment="1">
      <alignment vertical="top"/>
    </xf>
    <xf numFmtId="9" fontId="4" fillId="8" borderId="2" applyAlignment="1">
      <alignment vertical="top"/>
    </xf>
    <xf numFmtId="9" fontId="4" fillId="9" borderId="2" applyAlignment="1">
      <alignment vertical="top"/>
    </xf>
    <xf numFmtId="49" fontId="5" fillId="0" borderId="2" applyAlignment="1">
      <alignment vertical="top"/>
    </xf>
    <xf numFmtId="49" fontId="5" fillId="3" borderId="2" applyAlignment="1">
      <alignment vertical="top"/>
    </xf>
    <xf numFmtId="49" fontId="5" fillId="4" borderId="2" applyAlignment="1">
      <alignment vertical="top"/>
    </xf>
    <xf numFmtId="49" fontId="5" fillId="5" borderId="2" applyAlignment="1">
      <alignment vertical="top"/>
    </xf>
    <xf numFmtId="49" fontId="5" fillId="6" borderId="2" applyAlignment="1">
      <alignment vertical="top"/>
    </xf>
    <xf numFmtId="49" fontId="5" fillId="7" borderId="2" applyAlignment="1">
      <alignment vertical="top"/>
    </xf>
    <xf numFmtId="49" fontId="5" fillId="8" borderId="2" applyAlignment="1">
      <alignment vertical="top"/>
    </xf>
    <xf numFmtId="49" fontId="5" fillId="9" borderId="2" applyAlignment="1">
      <alignment vertical="top"/>
    </xf>
    <xf numFmtId="49" fontId="6" fillId="0" borderId="2" applyAlignment="1">
      <alignment vertical="top"/>
    </xf>
    <xf numFmtId="49" fontId="6" fillId="3" borderId="2" applyAlignment="1">
      <alignment vertical="top"/>
    </xf>
    <xf numFmtId="49" fontId="6" fillId="4" borderId="2" applyAlignment="1">
      <alignment vertical="top"/>
    </xf>
    <xf numFmtId="49" fontId="6" fillId="5" borderId="2" applyAlignment="1">
      <alignment vertical="top"/>
    </xf>
    <xf numFmtId="49" fontId="6" fillId="6" borderId="2" applyAlignment="1">
      <alignment vertical="top"/>
    </xf>
    <xf numFmtId="49" fontId="6" fillId="7" borderId="2" applyAlignment="1">
      <alignment vertical="top"/>
    </xf>
    <xf numFmtId="49" fontId="6" fillId="8" borderId="2" applyAlignment="1">
      <alignment vertical="top"/>
    </xf>
    <xf numFmtId="49" fontId="6" fillId="9" borderId="2" applyAlignment="1">
      <alignment vertical="top"/>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horizontal="center" vertical="top"/>
    </xf>
    <xf numFmtId="49" fontId="0" fillId="3" borderId="2" applyAlignment="1">
      <alignment horizontal="center" vertical="top"/>
    </xf>
    <xf numFmtId="49" fontId="0" fillId="4" borderId="2" applyAlignment="1">
      <alignment horizontal="center" vertical="top"/>
    </xf>
    <xf numFmtId="49" fontId="0" fillId="5" borderId="2" applyAlignment="1">
      <alignment horizontal="center" vertical="top"/>
    </xf>
    <xf numFmtId="49" fontId="0" fillId="6" borderId="2" applyAlignment="1">
      <alignment horizontal="center" vertical="top"/>
    </xf>
    <xf numFmtId="49" fontId="0" fillId="7" borderId="2" applyAlignment="1">
      <alignment horizontal="center" vertical="top"/>
    </xf>
    <xf numFmtId="49" fontId="0" fillId="8" borderId="2" applyAlignment="1">
      <alignment horizontal="center" vertical="top"/>
    </xf>
    <xf numFmtId="49" fontId="0" fillId="9" borderId="2" applyAlignment="1">
      <alignment horizontal="center" vertical="top"/>
    </xf>
    <xf numFmtId="49" fontId="4" fillId="0" borderId="2" applyAlignment="1">
      <alignment horizontal="center" vertical="top"/>
    </xf>
    <xf numFmtId="49" fontId="4" fillId="3" borderId="2" applyAlignment="1">
      <alignment horizontal="center" vertical="top"/>
    </xf>
    <xf numFmtId="49" fontId="4" fillId="4" borderId="2" applyAlignment="1">
      <alignment horizontal="center" vertical="top"/>
    </xf>
    <xf numFmtId="49" fontId="4" fillId="5" borderId="2" applyAlignment="1">
      <alignment horizontal="center" vertical="top"/>
    </xf>
    <xf numFmtId="49" fontId="4" fillId="6" borderId="2" applyAlignment="1">
      <alignment horizontal="center" vertical="top"/>
    </xf>
    <xf numFmtId="49" fontId="4" fillId="7" borderId="2" applyAlignment="1">
      <alignment horizontal="center" vertical="top"/>
    </xf>
    <xf numFmtId="49" fontId="4" fillId="8" borderId="2" applyAlignment="1">
      <alignment horizontal="center" vertical="top"/>
    </xf>
    <xf numFmtId="49" fontId="4" fillId="9" borderId="2" applyAlignment="1">
      <alignment horizontal="center" vertical="top"/>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5" fillId="0" borderId="2" applyAlignment="1">
      <alignment vertical="top" wrapText="1"/>
    </xf>
    <xf numFmtId="49" fontId="5" fillId="3" borderId="2" applyAlignment="1">
      <alignment vertical="top" wrapText="1"/>
    </xf>
    <xf numFmtId="49" fontId="5" fillId="4" borderId="2" applyAlignment="1">
      <alignment vertical="top" wrapText="1"/>
    </xf>
    <xf numFmtId="49" fontId="5" fillId="5" borderId="2" applyAlignment="1">
      <alignment vertical="top" wrapText="1"/>
    </xf>
    <xf numFmtId="49" fontId="5" fillId="6" borderId="2" applyAlignment="1">
      <alignment vertical="top" wrapText="1"/>
    </xf>
    <xf numFmtId="49" fontId="5" fillId="7" borderId="2" applyAlignment="1">
      <alignment vertical="top" wrapText="1"/>
    </xf>
    <xf numFmtId="49" fontId="5" fillId="8" borderId="2" applyAlignment="1">
      <alignment vertical="top" wrapText="1"/>
    </xf>
    <xf numFmtId="49" fontId="5" fillId="9" borderId="2" applyAlignment="1">
      <alignment vertical="top" wrapText="1"/>
    </xf>
    <xf numFmtId="49" fontId="6" fillId="0" borderId="2" applyAlignment="1">
      <alignment vertical="top" wrapText="1"/>
    </xf>
    <xf numFmtId="49" fontId="6" fillId="3" borderId="2" applyAlignment="1">
      <alignment vertical="top" wrapText="1"/>
    </xf>
    <xf numFmtId="49" fontId="6" fillId="4" borderId="2" applyAlignment="1">
      <alignment vertical="top" wrapText="1"/>
    </xf>
    <xf numFmtId="49" fontId="6" fillId="5" borderId="2" applyAlignment="1">
      <alignment vertical="top" wrapText="1"/>
    </xf>
    <xf numFmtId="49" fontId="6" fillId="6" borderId="2" applyAlignment="1">
      <alignment vertical="top" wrapText="1"/>
    </xf>
    <xf numFmtId="49" fontId="6" fillId="7" borderId="2" applyAlignment="1">
      <alignment vertical="top" wrapText="1"/>
    </xf>
    <xf numFmtId="49" fontId="6" fillId="8" borderId="2" applyAlignment="1">
      <alignment vertical="top" wrapText="1"/>
    </xf>
    <xf numFmtId="49" fontId="6" fillId="9" borderId="2" applyAlignment="1">
      <alignment vertical="top" wrapText="1"/>
    </xf>
  </cellStyleXfs>
  <cellXfs count="231">
    <xf numFmtId="0" fontId="0" fillId="0" borderId="0" pivotButton="0" quotePrefix="0" xfId="0"/>
    <xf numFmtId="49" fontId="1" fillId="2" borderId="1" applyAlignment="1" pivotButton="0" quotePrefix="0" xfId="1">
      <alignment vertical="center" wrapText="1"/>
    </xf>
    <xf numFmtId="49" fontId="1" fillId="2" borderId="2" applyAlignment="1" pivotButton="0" quotePrefix="0" xfId="2">
      <alignment vertical="center" wrapText="1"/>
    </xf>
    <xf numFmtId="49" fontId="2" fillId="0" borderId="1" applyAlignment="1" pivotButton="0" quotePrefix="0" xfId="3">
      <alignment vertical="top"/>
    </xf>
    <xf numFmtId="49" fontId="3" fillId="0" borderId="1" applyAlignment="1" pivotButton="0" quotePrefix="0" xfId="4">
      <alignment vertical="top"/>
    </xf>
    <xf numFmtId="49" fontId="0" fillId="0" borderId="1" applyAlignment="1" pivotButton="0" quotePrefix="0" xfId="5">
      <alignment vertical="top" wrapText="1"/>
    </xf>
    <xf numFmtId="49" fontId="3" fillId="0" borderId="1" applyAlignment="1" pivotButton="0" quotePrefix="0" xfId="6">
      <alignment vertical="top" wrapText="1"/>
    </xf>
    <xf numFmtId="49" fontId="0" fillId="0" borderId="2" applyAlignment="1" pivotButton="0" quotePrefix="0" xfId="7">
      <alignment vertical="top"/>
    </xf>
    <xf numFmtId="49" fontId="0" fillId="3" borderId="2" applyAlignment="1" pivotButton="0" quotePrefix="0" xfId="8">
      <alignment vertical="top"/>
    </xf>
    <xf numFmtId="49" fontId="0" fillId="4" borderId="2" applyAlignment="1" pivotButton="0" quotePrefix="0" xfId="9">
      <alignment vertical="top"/>
    </xf>
    <xf numFmtId="49" fontId="0" fillId="5" borderId="2" applyAlignment="1" pivotButton="0" quotePrefix="0" xfId="10">
      <alignment vertical="top"/>
    </xf>
    <xf numFmtId="49" fontId="0" fillId="6" borderId="2" applyAlignment="1" pivotButton="0" quotePrefix="0" xfId="11">
      <alignment vertical="top"/>
    </xf>
    <xf numFmtId="49" fontId="0" fillId="7" borderId="2" applyAlignment="1" pivotButton="0" quotePrefix="0" xfId="12">
      <alignment vertical="top"/>
    </xf>
    <xf numFmtId="49" fontId="0" fillId="8" borderId="2" applyAlignment="1" pivotButton="0" quotePrefix="0" xfId="13">
      <alignment vertical="top"/>
    </xf>
    <xf numFmtId="49" fontId="0" fillId="9" borderId="2" applyAlignment="1" pivotButton="0" quotePrefix="0" xfId="14">
      <alignment vertical="top"/>
    </xf>
    <xf numFmtId="49" fontId="4" fillId="0" borderId="2" applyAlignment="1" pivotButton="0" quotePrefix="0" xfId="15">
      <alignment vertical="top"/>
    </xf>
    <xf numFmtId="49" fontId="4" fillId="3" borderId="2" applyAlignment="1" pivotButton="0" quotePrefix="0" xfId="16">
      <alignment vertical="top"/>
    </xf>
    <xf numFmtId="49" fontId="4" fillId="4" borderId="2" applyAlignment="1" pivotButton="0" quotePrefix="0" xfId="17">
      <alignment vertical="top"/>
    </xf>
    <xf numFmtId="49" fontId="4" fillId="5" borderId="2" applyAlignment="1" pivotButton="0" quotePrefix="0" xfId="18">
      <alignment vertical="top"/>
    </xf>
    <xf numFmtId="49" fontId="4" fillId="6" borderId="2" applyAlignment="1" pivotButton="0" quotePrefix="0" xfId="19">
      <alignment vertical="top"/>
    </xf>
    <xf numFmtId="49" fontId="4" fillId="7" borderId="2" applyAlignment="1" pivotButton="0" quotePrefix="0" xfId="20">
      <alignment vertical="top"/>
    </xf>
    <xf numFmtId="49" fontId="4" fillId="8" borderId="2" applyAlignment="1" pivotButton="0" quotePrefix="0" xfId="21">
      <alignment vertical="top"/>
    </xf>
    <xf numFmtId="49" fontId="4" fillId="9" borderId="2" applyAlignment="1" pivotButton="0" quotePrefix="0" xfId="22">
      <alignment vertical="top"/>
    </xf>
    <xf numFmtId="49" fontId="0" fillId="0" borderId="2" applyAlignment="1" pivotButton="0" quotePrefix="0" xfId="23">
      <alignment vertical="top"/>
    </xf>
    <xf numFmtId="49" fontId="0" fillId="3" borderId="2" applyAlignment="1" pivotButton="0" quotePrefix="0" xfId="24">
      <alignment vertical="top"/>
    </xf>
    <xf numFmtId="49" fontId="0" fillId="4" borderId="2" applyAlignment="1" pivotButton="0" quotePrefix="0" xfId="25">
      <alignment vertical="top"/>
    </xf>
    <xf numFmtId="49" fontId="0" fillId="5" borderId="2" applyAlignment="1" pivotButton="0" quotePrefix="0" xfId="26">
      <alignment vertical="top"/>
    </xf>
    <xf numFmtId="49" fontId="0" fillId="6" borderId="2" applyAlignment="1" pivotButton="0" quotePrefix="0" xfId="27">
      <alignment vertical="top"/>
    </xf>
    <xf numFmtId="49" fontId="0" fillId="7" borderId="2" applyAlignment="1" pivotButton="0" quotePrefix="0" xfId="28">
      <alignment vertical="top"/>
    </xf>
    <xf numFmtId="49" fontId="0" fillId="8" borderId="2" applyAlignment="1" pivotButton="0" quotePrefix="0" xfId="29">
      <alignment vertical="top"/>
    </xf>
    <xf numFmtId="49" fontId="0" fillId="9" borderId="2" applyAlignment="1" pivotButton="0" quotePrefix="0" xfId="30">
      <alignment vertical="top"/>
    </xf>
    <xf numFmtId="49" fontId="4" fillId="0" borderId="2" applyAlignment="1" pivotButton="0" quotePrefix="0" xfId="31">
      <alignment vertical="top"/>
    </xf>
    <xf numFmtId="49" fontId="4" fillId="3" borderId="2" applyAlignment="1" pivotButton="0" quotePrefix="0" xfId="32">
      <alignment vertical="top"/>
    </xf>
    <xf numFmtId="49" fontId="4" fillId="4" borderId="2" applyAlignment="1" pivotButton="0" quotePrefix="0" xfId="33">
      <alignment vertical="top"/>
    </xf>
    <xf numFmtId="49" fontId="4" fillId="5" borderId="2" applyAlignment="1" pivotButton="0" quotePrefix="0" xfId="34">
      <alignment vertical="top"/>
    </xf>
    <xf numFmtId="49" fontId="4" fillId="6" borderId="2" applyAlignment="1" pivotButton="0" quotePrefix="0" xfId="35">
      <alignment vertical="top"/>
    </xf>
    <xf numFmtId="49" fontId="4" fillId="7" borderId="2" applyAlignment="1" pivotButton="0" quotePrefix="0" xfId="36">
      <alignment vertical="top"/>
    </xf>
    <xf numFmtId="49" fontId="4" fillId="8" borderId="2" applyAlignment="1" pivotButton="0" quotePrefix="0" xfId="37">
      <alignment vertical="top"/>
    </xf>
    <xf numFmtId="49" fontId="4" fillId="9" borderId="2" applyAlignment="1" pivotButton="0" quotePrefix="0" xfId="38">
      <alignment vertical="top"/>
    </xf>
    <xf numFmtId="49" fontId="0" fillId="0" borderId="2" applyAlignment="1" pivotButton="0" quotePrefix="0" xfId="39">
      <alignment vertical="top"/>
    </xf>
    <xf numFmtId="49" fontId="0" fillId="3" borderId="2" applyAlignment="1" pivotButton="0" quotePrefix="0" xfId="40">
      <alignment vertical="top"/>
    </xf>
    <xf numFmtId="49" fontId="0" fillId="4" borderId="2" applyAlignment="1" pivotButton="0" quotePrefix="0" xfId="41">
      <alignment vertical="top"/>
    </xf>
    <xf numFmtId="49" fontId="0" fillId="5" borderId="2" applyAlignment="1" pivotButton="0" quotePrefix="0" xfId="42">
      <alignment vertical="top"/>
    </xf>
    <xf numFmtId="49" fontId="0" fillId="6" borderId="2" applyAlignment="1" pivotButton="0" quotePrefix="0" xfId="43">
      <alignment vertical="top"/>
    </xf>
    <xf numFmtId="49" fontId="0" fillId="7" borderId="2" applyAlignment="1" pivotButton="0" quotePrefix="0" xfId="44">
      <alignment vertical="top"/>
    </xf>
    <xf numFmtId="49" fontId="0" fillId="8" borderId="2" applyAlignment="1" pivotButton="0" quotePrefix="0" xfId="45">
      <alignment vertical="top"/>
    </xf>
    <xf numFmtId="49" fontId="0" fillId="9" borderId="2" applyAlignment="1" pivotButton="0" quotePrefix="0" xfId="46">
      <alignment vertical="top"/>
    </xf>
    <xf numFmtId="49" fontId="4" fillId="0" borderId="2" applyAlignment="1" pivotButton="0" quotePrefix="0" xfId="47">
      <alignment vertical="top"/>
    </xf>
    <xf numFmtId="49" fontId="4" fillId="3" borderId="2" applyAlignment="1" pivotButton="0" quotePrefix="0" xfId="48">
      <alignment vertical="top"/>
    </xf>
    <xf numFmtId="49" fontId="4" fillId="4" borderId="2" applyAlignment="1" pivotButton="0" quotePrefix="0" xfId="49">
      <alignment vertical="top"/>
    </xf>
    <xf numFmtId="49" fontId="4" fillId="5" borderId="2" applyAlignment="1" pivotButton="0" quotePrefix="0" xfId="50">
      <alignment vertical="top"/>
    </xf>
    <xf numFmtId="49" fontId="4" fillId="6" borderId="2" applyAlignment="1" pivotButton="0" quotePrefix="0" xfId="51">
      <alignment vertical="top"/>
    </xf>
    <xf numFmtId="49" fontId="4" fillId="7" borderId="2" applyAlignment="1" pivotButton="0" quotePrefix="0" xfId="52">
      <alignment vertical="top"/>
    </xf>
    <xf numFmtId="49" fontId="4" fillId="8" borderId="2" applyAlignment="1" pivotButton="0" quotePrefix="0" xfId="53">
      <alignment vertical="top"/>
    </xf>
    <xf numFmtId="49" fontId="4" fillId="9" borderId="2" applyAlignment="1" pivotButton="0" quotePrefix="0" xfId="54">
      <alignment vertical="top"/>
    </xf>
    <xf numFmtId="49" fontId="0" fillId="0" borderId="2" applyAlignment="1" pivotButton="0" quotePrefix="0" xfId="55">
      <alignment vertical="top" wrapText="1"/>
    </xf>
    <xf numFmtId="49" fontId="0" fillId="3" borderId="2" applyAlignment="1" pivotButton="0" quotePrefix="0" xfId="56">
      <alignment vertical="top" wrapText="1"/>
    </xf>
    <xf numFmtId="49" fontId="0" fillId="4" borderId="2" applyAlignment="1" pivotButton="0" quotePrefix="0" xfId="57">
      <alignment vertical="top" wrapText="1"/>
    </xf>
    <xf numFmtId="49" fontId="0" fillId="5" borderId="2" applyAlignment="1" pivotButton="0" quotePrefix="0" xfId="58">
      <alignment vertical="top" wrapText="1"/>
    </xf>
    <xf numFmtId="49" fontId="0" fillId="6" borderId="2" applyAlignment="1" pivotButton="0" quotePrefix="0" xfId="59">
      <alignment vertical="top" wrapText="1"/>
    </xf>
    <xf numFmtId="49" fontId="0" fillId="7" borderId="2" applyAlignment="1" pivotButton="0" quotePrefix="0" xfId="60">
      <alignment vertical="top" wrapText="1"/>
    </xf>
    <xf numFmtId="49" fontId="0" fillId="8" borderId="2" applyAlignment="1" pivotButton="0" quotePrefix="0" xfId="61">
      <alignment vertical="top" wrapText="1"/>
    </xf>
    <xf numFmtId="49" fontId="0" fillId="9" borderId="2" applyAlignment="1" pivotButton="0" quotePrefix="0" xfId="62">
      <alignment vertical="top" wrapText="1"/>
    </xf>
    <xf numFmtId="49" fontId="4" fillId="0" borderId="2" applyAlignment="1" pivotButton="0" quotePrefix="0" xfId="63">
      <alignment vertical="top" wrapText="1"/>
    </xf>
    <xf numFmtId="49" fontId="4" fillId="3" borderId="2" applyAlignment="1" pivotButton="0" quotePrefix="0" xfId="64">
      <alignment vertical="top" wrapText="1"/>
    </xf>
    <xf numFmtId="49" fontId="4" fillId="4" borderId="2" applyAlignment="1" pivotButton="0" quotePrefix="0" xfId="65">
      <alignment vertical="top" wrapText="1"/>
    </xf>
    <xf numFmtId="49" fontId="4" fillId="5" borderId="2" applyAlignment="1" pivotButton="0" quotePrefix="0" xfId="66">
      <alignment vertical="top" wrapText="1"/>
    </xf>
    <xf numFmtId="49" fontId="4" fillId="6" borderId="2" applyAlignment="1" pivotButton="0" quotePrefix="0" xfId="67">
      <alignment vertical="top" wrapText="1"/>
    </xf>
    <xf numFmtId="49" fontId="4" fillId="7" borderId="2" applyAlignment="1" pivotButton="0" quotePrefix="0" xfId="68">
      <alignment vertical="top" wrapText="1"/>
    </xf>
    <xf numFmtId="49" fontId="4" fillId="8" borderId="2" applyAlignment="1" pivotButton="0" quotePrefix="0" xfId="69">
      <alignment vertical="top" wrapText="1"/>
    </xf>
    <xf numFmtId="49" fontId="4" fillId="9" borderId="2" applyAlignment="1" pivotButton="0" quotePrefix="0" xfId="70">
      <alignment vertical="top" wrapText="1"/>
    </xf>
    <xf numFmtId="49" fontId="0" fillId="0" borderId="2" applyAlignment="1" pivotButton="0" quotePrefix="0" xfId="71">
      <alignment vertical="top" wrapText="1"/>
    </xf>
    <xf numFmtId="49" fontId="0" fillId="3" borderId="2" applyAlignment="1" pivotButton="0" quotePrefix="0" xfId="72">
      <alignment vertical="top" wrapText="1"/>
    </xf>
    <xf numFmtId="49" fontId="0" fillId="4" borderId="2" applyAlignment="1" pivotButton="0" quotePrefix="0" xfId="73">
      <alignment vertical="top" wrapText="1"/>
    </xf>
    <xf numFmtId="49" fontId="0" fillId="5" borderId="2" applyAlignment="1" pivotButton="0" quotePrefix="0" xfId="74">
      <alignment vertical="top" wrapText="1"/>
    </xf>
    <xf numFmtId="49" fontId="0" fillId="6" borderId="2" applyAlignment="1" pivotButton="0" quotePrefix="0" xfId="75">
      <alignment vertical="top" wrapText="1"/>
    </xf>
    <xf numFmtId="49" fontId="0" fillId="7" borderId="2" applyAlignment="1" pivotButton="0" quotePrefix="0" xfId="76">
      <alignment vertical="top" wrapText="1"/>
    </xf>
    <xf numFmtId="49" fontId="0" fillId="8" borderId="2" applyAlignment="1" pivotButton="0" quotePrefix="0" xfId="77">
      <alignment vertical="top" wrapText="1"/>
    </xf>
    <xf numFmtId="49" fontId="0" fillId="9" borderId="2" applyAlignment="1" pivotButton="0" quotePrefix="0" xfId="78">
      <alignment vertical="top" wrapText="1"/>
    </xf>
    <xf numFmtId="49" fontId="4" fillId="0" borderId="2" applyAlignment="1" pivotButton="0" quotePrefix="0" xfId="79">
      <alignment vertical="top" wrapText="1"/>
    </xf>
    <xf numFmtId="49" fontId="4" fillId="3" borderId="2" applyAlignment="1" pivotButton="0" quotePrefix="0" xfId="80">
      <alignment vertical="top" wrapText="1"/>
    </xf>
    <xf numFmtId="49" fontId="4" fillId="4" borderId="2" applyAlignment="1" pivotButton="0" quotePrefix="0" xfId="81">
      <alignment vertical="top" wrapText="1"/>
    </xf>
    <xf numFmtId="49" fontId="4" fillId="5" borderId="2" applyAlignment="1" pivotButton="0" quotePrefix="0" xfId="82">
      <alignment vertical="top" wrapText="1"/>
    </xf>
    <xf numFmtId="49" fontId="4" fillId="6" borderId="2" applyAlignment="1" pivotButton="0" quotePrefix="0" xfId="83">
      <alignment vertical="top" wrapText="1"/>
    </xf>
    <xf numFmtId="49" fontId="4" fillId="7" borderId="2" applyAlignment="1" pivotButton="0" quotePrefix="0" xfId="84">
      <alignment vertical="top" wrapText="1"/>
    </xf>
    <xf numFmtId="49" fontId="4" fillId="8" borderId="2" applyAlignment="1" pivotButton="0" quotePrefix="0" xfId="85">
      <alignment vertical="top" wrapText="1"/>
    </xf>
    <xf numFmtId="49" fontId="4" fillId="9" borderId="2" applyAlignment="1" pivotButton="0" quotePrefix="0" xfId="86">
      <alignment vertical="top" wrapText="1"/>
    </xf>
    <xf numFmtId="49" fontId="0" fillId="0" borderId="2" applyAlignment="1" pivotButton="0" quotePrefix="0" xfId="87">
      <alignment vertical="top"/>
    </xf>
    <xf numFmtId="49" fontId="0" fillId="3" borderId="2" applyAlignment="1" pivotButton="0" quotePrefix="0" xfId="88">
      <alignment vertical="top"/>
    </xf>
    <xf numFmtId="49" fontId="0" fillId="4" borderId="2" applyAlignment="1" pivotButton="0" quotePrefix="0" xfId="89">
      <alignment vertical="top"/>
    </xf>
    <xf numFmtId="49" fontId="0" fillId="5" borderId="2" applyAlignment="1" pivotButton="0" quotePrefix="0" xfId="90">
      <alignment vertical="top"/>
    </xf>
    <xf numFmtId="49" fontId="0" fillId="6" borderId="2" applyAlignment="1" pivotButton="0" quotePrefix="0" xfId="91">
      <alignment vertical="top"/>
    </xf>
    <xf numFmtId="49" fontId="0" fillId="7" borderId="2" applyAlignment="1" pivotButton="0" quotePrefix="0" xfId="92">
      <alignment vertical="top"/>
    </xf>
    <xf numFmtId="49" fontId="0" fillId="8" borderId="2" applyAlignment="1" pivotButton="0" quotePrefix="0" xfId="93">
      <alignment vertical="top"/>
    </xf>
    <xf numFmtId="49" fontId="0" fillId="9" borderId="2" applyAlignment="1" pivotButton="0" quotePrefix="0" xfId="94">
      <alignment vertical="top"/>
    </xf>
    <xf numFmtId="49" fontId="4" fillId="0" borderId="2" applyAlignment="1" pivotButton="0" quotePrefix="0" xfId="95">
      <alignment vertical="top"/>
    </xf>
    <xf numFmtId="49" fontId="4" fillId="3" borderId="2" applyAlignment="1" pivotButton="0" quotePrefix="0" xfId="96">
      <alignment vertical="top"/>
    </xf>
    <xf numFmtId="49" fontId="4" fillId="4" borderId="2" applyAlignment="1" pivotButton="0" quotePrefix="0" xfId="97">
      <alignment vertical="top"/>
    </xf>
    <xf numFmtId="49" fontId="4" fillId="5" borderId="2" applyAlignment="1" pivotButton="0" quotePrefix="0" xfId="98">
      <alignment vertical="top"/>
    </xf>
    <xf numFmtId="49" fontId="4" fillId="6" borderId="2" applyAlignment="1" pivotButton="0" quotePrefix="0" xfId="99">
      <alignment vertical="top"/>
    </xf>
    <xf numFmtId="49" fontId="4" fillId="7" borderId="2" applyAlignment="1" pivotButton="0" quotePrefix="0" xfId="100">
      <alignment vertical="top"/>
    </xf>
    <xf numFmtId="49" fontId="4" fillId="8" borderId="2" applyAlignment="1" pivotButton="0" quotePrefix="0" xfId="101">
      <alignment vertical="top"/>
    </xf>
    <xf numFmtId="49" fontId="4" fillId="9" borderId="2" applyAlignment="1" pivotButton="0" quotePrefix="0" xfId="102">
      <alignment vertical="top"/>
    </xf>
    <xf numFmtId="164" fontId="0" fillId="0" borderId="2" applyAlignment="1" pivotButton="0" quotePrefix="0" xfId="103">
      <alignment vertical="top"/>
    </xf>
    <xf numFmtId="164" fontId="0" fillId="3" borderId="2" applyAlignment="1" pivotButton="0" quotePrefix="0" xfId="104">
      <alignment vertical="top"/>
    </xf>
    <xf numFmtId="164" fontId="0" fillId="4" borderId="2" applyAlignment="1" pivotButton="0" quotePrefix="0" xfId="105">
      <alignment vertical="top"/>
    </xf>
    <xf numFmtId="164" fontId="0" fillId="5" borderId="2" applyAlignment="1" pivotButton="0" quotePrefix="0" xfId="106">
      <alignment vertical="top"/>
    </xf>
    <xf numFmtId="164" fontId="0" fillId="6" borderId="2" applyAlignment="1" pivotButton="0" quotePrefix="0" xfId="107">
      <alignment vertical="top"/>
    </xf>
    <xf numFmtId="164" fontId="0" fillId="7" borderId="2" applyAlignment="1" pivotButton="0" quotePrefix="0" xfId="108">
      <alignment vertical="top"/>
    </xf>
    <xf numFmtId="164" fontId="0" fillId="8" borderId="2" applyAlignment="1" pivotButton="0" quotePrefix="0" xfId="109">
      <alignment vertical="top"/>
    </xf>
    <xf numFmtId="164" fontId="0" fillId="9" borderId="2" applyAlignment="1" pivotButton="0" quotePrefix="0" xfId="110">
      <alignment vertical="top"/>
    </xf>
    <xf numFmtId="164" fontId="4" fillId="0" borderId="2" applyAlignment="1" pivotButton="0" quotePrefix="0" xfId="111">
      <alignment vertical="top"/>
    </xf>
    <xf numFmtId="164" fontId="4" fillId="3" borderId="2" applyAlignment="1" pivotButton="0" quotePrefix="0" xfId="112">
      <alignment vertical="top"/>
    </xf>
    <xf numFmtId="164" fontId="4" fillId="4" borderId="2" applyAlignment="1" pivotButton="0" quotePrefix="0" xfId="113">
      <alignment vertical="top"/>
    </xf>
    <xf numFmtId="164" fontId="4" fillId="5" borderId="2" applyAlignment="1" pivotButton="0" quotePrefix="0" xfId="114">
      <alignment vertical="top"/>
    </xf>
    <xf numFmtId="164" fontId="4" fillId="6" borderId="2" applyAlignment="1" pivotButton="0" quotePrefix="0" xfId="115">
      <alignment vertical="top"/>
    </xf>
    <xf numFmtId="164" fontId="4" fillId="7" borderId="2" applyAlignment="1" pivotButton="0" quotePrefix="0" xfId="116">
      <alignment vertical="top"/>
    </xf>
    <xf numFmtId="164" fontId="4" fillId="8" borderId="2" applyAlignment="1" pivotButton="0" quotePrefix="0" xfId="117">
      <alignment vertical="top"/>
    </xf>
    <xf numFmtId="164" fontId="4" fillId="9" borderId="2" applyAlignment="1" pivotButton="0" quotePrefix="0" xfId="118">
      <alignment vertical="top"/>
    </xf>
    <xf numFmtId="1" fontId="0" fillId="0" borderId="2" applyAlignment="1" pivotButton="0" quotePrefix="0" xfId="119">
      <alignment vertical="top"/>
    </xf>
    <xf numFmtId="1" fontId="0" fillId="3" borderId="2" applyAlignment="1" pivotButton="0" quotePrefix="0" xfId="120">
      <alignment vertical="top"/>
    </xf>
    <xf numFmtId="1" fontId="0" fillId="4" borderId="2" applyAlignment="1" pivotButton="0" quotePrefix="0" xfId="121">
      <alignment vertical="top"/>
    </xf>
    <xf numFmtId="1" fontId="0" fillId="5" borderId="2" applyAlignment="1" pivotButton="0" quotePrefix="0" xfId="122">
      <alignment vertical="top"/>
    </xf>
    <xf numFmtId="1" fontId="0" fillId="6" borderId="2" applyAlignment="1" pivotButton="0" quotePrefix="0" xfId="123">
      <alignment vertical="top"/>
    </xf>
    <xf numFmtId="1" fontId="0" fillId="7" borderId="2" applyAlignment="1" pivotButton="0" quotePrefix="0" xfId="124">
      <alignment vertical="top"/>
    </xf>
    <xf numFmtId="1" fontId="0" fillId="8" borderId="2" applyAlignment="1" pivotButton="0" quotePrefix="0" xfId="125">
      <alignment vertical="top"/>
    </xf>
    <xf numFmtId="1" fontId="0" fillId="9" borderId="2" applyAlignment="1" pivotButton="0" quotePrefix="0" xfId="126">
      <alignment vertical="top"/>
    </xf>
    <xf numFmtId="1" fontId="4" fillId="0" borderId="2" applyAlignment="1" pivotButton="0" quotePrefix="0" xfId="127">
      <alignment vertical="top"/>
    </xf>
    <xf numFmtId="1" fontId="4" fillId="3" borderId="2" applyAlignment="1" pivotButton="0" quotePrefix="0" xfId="128">
      <alignment vertical="top"/>
    </xf>
    <xf numFmtId="1" fontId="4" fillId="4" borderId="2" applyAlignment="1" pivotButton="0" quotePrefix="0" xfId="129">
      <alignment vertical="top"/>
    </xf>
    <xf numFmtId="1" fontId="4" fillId="5" borderId="2" applyAlignment="1" pivotButton="0" quotePrefix="0" xfId="130">
      <alignment vertical="top"/>
    </xf>
    <xf numFmtId="1" fontId="4" fillId="6" borderId="2" applyAlignment="1" pivotButton="0" quotePrefix="0" xfId="131">
      <alignment vertical="top"/>
    </xf>
    <xf numFmtId="1" fontId="4" fillId="7" borderId="2" applyAlignment="1" pivotButton="0" quotePrefix="0" xfId="132">
      <alignment vertical="top"/>
    </xf>
    <xf numFmtId="1" fontId="4" fillId="8" borderId="2" applyAlignment="1" pivotButton="0" quotePrefix="0" xfId="133">
      <alignment vertical="top"/>
    </xf>
    <xf numFmtId="1" fontId="4" fillId="9" borderId="2" applyAlignment="1" pivotButton="0" quotePrefix="0" xfId="134">
      <alignment vertical="top"/>
    </xf>
    <xf numFmtId="9" fontId="0" fillId="0" borderId="2" applyAlignment="1" pivotButton="0" quotePrefix="0" xfId="135">
      <alignment vertical="top"/>
    </xf>
    <xf numFmtId="9" fontId="0" fillId="3" borderId="2" applyAlignment="1" pivotButton="0" quotePrefix="0" xfId="136">
      <alignment vertical="top"/>
    </xf>
    <xf numFmtId="9" fontId="0" fillId="4" borderId="2" applyAlignment="1" pivotButton="0" quotePrefix="0" xfId="137">
      <alignment vertical="top"/>
    </xf>
    <xf numFmtId="9" fontId="0" fillId="5" borderId="2" applyAlignment="1" pivotButton="0" quotePrefix="0" xfId="138">
      <alignment vertical="top"/>
    </xf>
    <xf numFmtId="9" fontId="0" fillId="6" borderId="2" applyAlignment="1" pivotButton="0" quotePrefix="0" xfId="139">
      <alignment vertical="top"/>
    </xf>
    <xf numFmtId="9" fontId="0" fillId="7" borderId="2" applyAlignment="1" pivotButton="0" quotePrefix="0" xfId="140">
      <alignment vertical="top"/>
    </xf>
    <xf numFmtId="9" fontId="0" fillId="8" borderId="2" applyAlignment="1" pivotButton="0" quotePrefix="0" xfId="141">
      <alignment vertical="top"/>
    </xf>
    <xf numFmtId="9" fontId="0" fillId="9" borderId="2" applyAlignment="1" pivotButton="0" quotePrefix="0" xfId="142">
      <alignment vertical="top"/>
    </xf>
    <xf numFmtId="9" fontId="4" fillId="0" borderId="2" applyAlignment="1" pivotButton="0" quotePrefix="0" xfId="143">
      <alignment vertical="top"/>
    </xf>
    <xf numFmtId="9" fontId="4" fillId="3" borderId="2" applyAlignment="1" pivotButton="0" quotePrefix="0" xfId="144">
      <alignment vertical="top"/>
    </xf>
    <xf numFmtId="9" fontId="4" fillId="4" borderId="2" applyAlignment="1" pivotButton="0" quotePrefix="0" xfId="145">
      <alignment vertical="top"/>
    </xf>
    <xf numFmtId="9" fontId="4" fillId="5" borderId="2" applyAlignment="1" pivotButton="0" quotePrefix="0" xfId="146">
      <alignment vertical="top"/>
    </xf>
    <xf numFmtId="9" fontId="4" fillId="6" borderId="2" applyAlignment="1" pivotButton="0" quotePrefix="0" xfId="147">
      <alignment vertical="top"/>
    </xf>
    <xf numFmtId="9" fontId="4" fillId="7" borderId="2" applyAlignment="1" pivotButton="0" quotePrefix="0" xfId="148">
      <alignment vertical="top"/>
    </xf>
    <xf numFmtId="9" fontId="4" fillId="8" borderId="2" applyAlignment="1" pivotButton="0" quotePrefix="0" xfId="149">
      <alignment vertical="top"/>
    </xf>
    <xf numFmtId="9" fontId="4" fillId="9" borderId="2" applyAlignment="1" pivotButton="0" quotePrefix="0" xfId="150">
      <alignment vertical="top"/>
    </xf>
    <xf numFmtId="49" fontId="5" fillId="0" borderId="2" applyAlignment="1" pivotButton="0" quotePrefix="0" xfId="151">
      <alignment vertical="top"/>
    </xf>
    <xf numFmtId="49" fontId="5" fillId="3" borderId="2" applyAlignment="1" pivotButton="0" quotePrefix="0" xfId="152">
      <alignment vertical="top"/>
    </xf>
    <xf numFmtId="49" fontId="5" fillId="4" borderId="2" applyAlignment="1" pivotButton="0" quotePrefix="0" xfId="153">
      <alignment vertical="top"/>
    </xf>
    <xf numFmtId="49" fontId="5" fillId="5" borderId="2" applyAlignment="1" pivotButton="0" quotePrefix="0" xfId="154">
      <alignment vertical="top"/>
    </xf>
    <xf numFmtId="49" fontId="5" fillId="6" borderId="2" applyAlignment="1" pivotButton="0" quotePrefix="0" xfId="155">
      <alignment vertical="top"/>
    </xf>
    <xf numFmtId="49" fontId="5" fillId="7" borderId="2" applyAlignment="1" pivotButton="0" quotePrefix="0" xfId="156">
      <alignment vertical="top"/>
    </xf>
    <xf numFmtId="49" fontId="5" fillId="8" borderId="2" applyAlignment="1" pivotButton="0" quotePrefix="0" xfId="157">
      <alignment vertical="top"/>
    </xf>
    <xf numFmtId="49" fontId="5" fillId="9" borderId="2" applyAlignment="1" pivotButton="0" quotePrefix="0" xfId="158">
      <alignment vertical="top"/>
    </xf>
    <xf numFmtId="49" fontId="6" fillId="0" borderId="2" applyAlignment="1" pivotButton="0" quotePrefix="0" xfId="159">
      <alignment vertical="top"/>
    </xf>
    <xf numFmtId="49" fontId="6" fillId="3" borderId="2" applyAlignment="1" pivotButton="0" quotePrefix="0" xfId="160">
      <alignment vertical="top"/>
    </xf>
    <xf numFmtId="49" fontId="6" fillId="4" borderId="2" applyAlignment="1" pivotButton="0" quotePrefix="0" xfId="161">
      <alignment vertical="top"/>
    </xf>
    <xf numFmtId="49" fontId="6" fillId="5" borderId="2" applyAlignment="1" pivotButton="0" quotePrefix="0" xfId="162">
      <alignment vertical="top"/>
    </xf>
    <xf numFmtId="49" fontId="6" fillId="6" borderId="2" applyAlignment="1" pivotButton="0" quotePrefix="0" xfId="163">
      <alignment vertical="top"/>
    </xf>
    <xf numFmtId="49" fontId="6" fillId="7" borderId="2" applyAlignment="1" pivotButton="0" quotePrefix="0" xfId="164">
      <alignment vertical="top"/>
    </xf>
    <xf numFmtId="49" fontId="6" fillId="8" borderId="2" applyAlignment="1" pivotButton="0" quotePrefix="0" xfId="165">
      <alignment vertical="top"/>
    </xf>
    <xf numFmtId="49" fontId="6" fillId="9" borderId="2" applyAlignment="1" pivotButton="0" quotePrefix="0" xfId="166">
      <alignment vertical="top"/>
    </xf>
    <xf numFmtId="49" fontId="0" fillId="0" borderId="2" applyAlignment="1" pivotButton="0" quotePrefix="0" xfId="167">
      <alignment vertical="top" wrapText="1"/>
    </xf>
    <xf numFmtId="49" fontId="0" fillId="3" borderId="2" applyAlignment="1" pivotButton="0" quotePrefix="0" xfId="168">
      <alignment vertical="top" wrapText="1"/>
    </xf>
    <xf numFmtId="49" fontId="0" fillId="4" borderId="2" applyAlignment="1" pivotButton="0" quotePrefix="0" xfId="169">
      <alignment vertical="top" wrapText="1"/>
    </xf>
    <xf numFmtId="49" fontId="0" fillId="5" borderId="2" applyAlignment="1" pivotButton="0" quotePrefix="0" xfId="170">
      <alignment vertical="top" wrapText="1"/>
    </xf>
    <xf numFmtId="49" fontId="0" fillId="6" borderId="2" applyAlignment="1" pivotButton="0" quotePrefix="0" xfId="171">
      <alignment vertical="top" wrapText="1"/>
    </xf>
    <xf numFmtId="49" fontId="0" fillId="7" borderId="2" applyAlignment="1" pivotButton="0" quotePrefix="0" xfId="172">
      <alignment vertical="top" wrapText="1"/>
    </xf>
    <xf numFmtId="49" fontId="0" fillId="8" borderId="2" applyAlignment="1" pivotButton="0" quotePrefix="0" xfId="173">
      <alignment vertical="top" wrapText="1"/>
    </xf>
    <xf numFmtId="49" fontId="0" fillId="9" borderId="2" applyAlignment="1" pivotButton="0" quotePrefix="0" xfId="174">
      <alignment vertical="top" wrapText="1"/>
    </xf>
    <xf numFmtId="49" fontId="4" fillId="0" borderId="2" applyAlignment="1" pivotButton="0" quotePrefix="0" xfId="175">
      <alignment vertical="top" wrapText="1"/>
    </xf>
    <xf numFmtId="49" fontId="4" fillId="3" borderId="2" applyAlignment="1" pivotButton="0" quotePrefix="0" xfId="176">
      <alignment vertical="top" wrapText="1"/>
    </xf>
    <xf numFmtId="49" fontId="4" fillId="4" borderId="2" applyAlignment="1" pivotButton="0" quotePrefix="0" xfId="177">
      <alignment vertical="top" wrapText="1"/>
    </xf>
    <xf numFmtId="49" fontId="4" fillId="5" borderId="2" applyAlignment="1" pivotButton="0" quotePrefix="0" xfId="178">
      <alignment vertical="top" wrapText="1"/>
    </xf>
    <xf numFmtId="49" fontId="4" fillId="6" borderId="2" applyAlignment="1" pivotButton="0" quotePrefix="0" xfId="179">
      <alignment vertical="top" wrapText="1"/>
    </xf>
    <xf numFmtId="49" fontId="4" fillId="7" borderId="2" applyAlignment="1" pivotButton="0" quotePrefix="0" xfId="180">
      <alignment vertical="top" wrapText="1"/>
    </xf>
    <xf numFmtId="49" fontId="4" fillId="8" borderId="2" applyAlignment="1" pivotButton="0" quotePrefix="0" xfId="181">
      <alignment vertical="top" wrapText="1"/>
    </xf>
    <xf numFmtId="49" fontId="4" fillId="9" borderId="2" applyAlignment="1" pivotButton="0" quotePrefix="0" xfId="182">
      <alignment vertical="top" wrapText="1"/>
    </xf>
    <xf numFmtId="49" fontId="0" fillId="0" borderId="2" applyAlignment="1" pivotButton="0" quotePrefix="0" xfId="183">
      <alignment horizontal="center" vertical="top"/>
    </xf>
    <xf numFmtId="49" fontId="0" fillId="3" borderId="2" applyAlignment="1" pivotButton="0" quotePrefix="0" xfId="184">
      <alignment horizontal="center" vertical="top"/>
    </xf>
    <xf numFmtId="49" fontId="0" fillId="4" borderId="2" applyAlignment="1" pivotButton="0" quotePrefix="0" xfId="185">
      <alignment horizontal="center" vertical="top"/>
    </xf>
    <xf numFmtId="49" fontId="0" fillId="5" borderId="2" applyAlignment="1" pivotButton="0" quotePrefix="0" xfId="186">
      <alignment horizontal="center" vertical="top"/>
    </xf>
    <xf numFmtId="49" fontId="0" fillId="6" borderId="2" applyAlignment="1" pivotButton="0" quotePrefix="0" xfId="187">
      <alignment horizontal="center" vertical="top"/>
    </xf>
    <xf numFmtId="49" fontId="0" fillId="7" borderId="2" applyAlignment="1" pivotButton="0" quotePrefix="0" xfId="188">
      <alignment horizontal="center" vertical="top"/>
    </xf>
    <xf numFmtId="49" fontId="0" fillId="8" borderId="2" applyAlignment="1" pivotButton="0" quotePrefix="0" xfId="189">
      <alignment horizontal="center" vertical="top"/>
    </xf>
    <xf numFmtId="49" fontId="0" fillId="9" borderId="2" applyAlignment="1" pivotButton="0" quotePrefix="0" xfId="190">
      <alignment horizontal="center" vertical="top"/>
    </xf>
    <xf numFmtId="49" fontId="4" fillId="0" borderId="2" applyAlignment="1" pivotButton="0" quotePrefix="0" xfId="191">
      <alignment horizontal="center" vertical="top"/>
    </xf>
    <xf numFmtId="49" fontId="4" fillId="3" borderId="2" applyAlignment="1" pivotButton="0" quotePrefix="0" xfId="192">
      <alignment horizontal="center" vertical="top"/>
    </xf>
    <xf numFmtId="49" fontId="4" fillId="4" borderId="2" applyAlignment="1" pivotButton="0" quotePrefix="0" xfId="193">
      <alignment horizontal="center" vertical="top"/>
    </xf>
    <xf numFmtId="49" fontId="4" fillId="5" borderId="2" applyAlignment="1" pivotButton="0" quotePrefix="0" xfId="194">
      <alignment horizontal="center" vertical="top"/>
    </xf>
    <xf numFmtId="49" fontId="4" fillId="6" borderId="2" applyAlignment="1" pivotButton="0" quotePrefix="0" xfId="195">
      <alignment horizontal="center" vertical="top"/>
    </xf>
    <xf numFmtId="49" fontId="4" fillId="7" borderId="2" applyAlignment="1" pivotButton="0" quotePrefix="0" xfId="196">
      <alignment horizontal="center" vertical="top"/>
    </xf>
    <xf numFmtId="49" fontId="4" fillId="8" borderId="2" applyAlignment="1" pivotButton="0" quotePrefix="0" xfId="197">
      <alignment horizontal="center" vertical="top"/>
    </xf>
    <xf numFmtId="49" fontId="4" fillId="9" borderId="2" applyAlignment="1" pivotButton="0" quotePrefix="0" xfId="198">
      <alignment horizontal="center" vertical="top"/>
    </xf>
    <xf numFmtId="49" fontId="0" fillId="0" borderId="2" applyAlignment="1" pivotButton="0" quotePrefix="0" xfId="199">
      <alignment vertical="top" wrapText="1"/>
    </xf>
    <xf numFmtId="49" fontId="0" fillId="3" borderId="2" applyAlignment="1" pivotButton="0" quotePrefix="0" xfId="200">
      <alignment vertical="top" wrapText="1"/>
    </xf>
    <xf numFmtId="49" fontId="0" fillId="4" borderId="2" applyAlignment="1" pivotButton="0" quotePrefix="0" xfId="201">
      <alignment vertical="top" wrapText="1"/>
    </xf>
    <xf numFmtId="49" fontId="0" fillId="5" borderId="2" applyAlignment="1" pivotButton="0" quotePrefix="0" xfId="202">
      <alignment vertical="top" wrapText="1"/>
    </xf>
    <xf numFmtId="49" fontId="0" fillId="6" borderId="2" applyAlignment="1" pivotButton="0" quotePrefix="0" xfId="203">
      <alignment vertical="top" wrapText="1"/>
    </xf>
    <xf numFmtId="49" fontId="0" fillId="7" borderId="2" applyAlignment="1" pivotButton="0" quotePrefix="0" xfId="204">
      <alignment vertical="top" wrapText="1"/>
    </xf>
    <xf numFmtId="49" fontId="0" fillId="8" borderId="2" applyAlignment="1" pivotButton="0" quotePrefix="0" xfId="205">
      <alignment vertical="top" wrapText="1"/>
    </xf>
    <xf numFmtId="49" fontId="0" fillId="9" borderId="2" applyAlignment="1" pivotButton="0" quotePrefix="0" xfId="206">
      <alignment vertical="top" wrapText="1"/>
    </xf>
    <xf numFmtId="49" fontId="4" fillId="0" borderId="2" applyAlignment="1" pivotButton="0" quotePrefix="0" xfId="207">
      <alignment vertical="top" wrapText="1"/>
    </xf>
    <xf numFmtId="49" fontId="4" fillId="3" borderId="2" applyAlignment="1" pivotButton="0" quotePrefix="0" xfId="208">
      <alignment vertical="top" wrapText="1"/>
    </xf>
    <xf numFmtId="49" fontId="4" fillId="4" borderId="2" applyAlignment="1" pivotButton="0" quotePrefix="0" xfId="209">
      <alignment vertical="top" wrapText="1"/>
    </xf>
    <xf numFmtId="49" fontId="4" fillId="5" borderId="2" applyAlignment="1" pivotButton="0" quotePrefix="0" xfId="210">
      <alignment vertical="top" wrapText="1"/>
    </xf>
    <xf numFmtId="49" fontId="4" fillId="6" borderId="2" applyAlignment="1" pivotButton="0" quotePrefix="0" xfId="211">
      <alignment vertical="top" wrapText="1"/>
    </xf>
    <xf numFmtId="49" fontId="4" fillId="7" borderId="2" applyAlignment="1" pivotButton="0" quotePrefix="0" xfId="212">
      <alignment vertical="top" wrapText="1"/>
    </xf>
    <xf numFmtId="49" fontId="4" fillId="8" borderId="2" applyAlignment="1" pivotButton="0" quotePrefix="0" xfId="213">
      <alignment vertical="top" wrapText="1"/>
    </xf>
    <xf numFmtId="49" fontId="4" fillId="9" borderId="2" applyAlignment="1" pivotButton="0" quotePrefix="0" xfId="214">
      <alignment vertical="top" wrapText="1"/>
    </xf>
    <xf numFmtId="49" fontId="5" fillId="0" borderId="2" applyAlignment="1" pivotButton="0" quotePrefix="0" xfId="215">
      <alignment vertical="top" wrapText="1"/>
    </xf>
    <xf numFmtId="49" fontId="5" fillId="3" borderId="2" applyAlignment="1" pivotButton="0" quotePrefix="0" xfId="216">
      <alignment vertical="top" wrapText="1"/>
    </xf>
    <xf numFmtId="49" fontId="5" fillId="4" borderId="2" applyAlignment="1" pivotButton="0" quotePrefix="0" xfId="217">
      <alignment vertical="top" wrapText="1"/>
    </xf>
    <xf numFmtId="49" fontId="5" fillId="5" borderId="2" applyAlignment="1" pivotButton="0" quotePrefix="0" xfId="218">
      <alignment vertical="top" wrapText="1"/>
    </xf>
    <xf numFmtId="49" fontId="5" fillId="6" borderId="2" applyAlignment="1" pivotButton="0" quotePrefix="0" xfId="219">
      <alignment vertical="top" wrapText="1"/>
    </xf>
    <xf numFmtId="49" fontId="5" fillId="7" borderId="2" applyAlignment="1" pivotButton="0" quotePrefix="0" xfId="220">
      <alignment vertical="top" wrapText="1"/>
    </xf>
    <xf numFmtId="49" fontId="5" fillId="8" borderId="2" applyAlignment="1" pivotButton="0" quotePrefix="0" xfId="221">
      <alignment vertical="top" wrapText="1"/>
    </xf>
    <xf numFmtId="49" fontId="5" fillId="9" borderId="2" applyAlignment="1" pivotButton="0" quotePrefix="0" xfId="222">
      <alignment vertical="top" wrapText="1"/>
    </xf>
    <xf numFmtId="49" fontId="6" fillId="0" borderId="2" applyAlignment="1" pivotButton="0" quotePrefix="0" xfId="223">
      <alignment vertical="top" wrapText="1"/>
    </xf>
    <xf numFmtId="49" fontId="6" fillId="3" borderId="2" applyAlignment="1" pivotButton="0" quotePrefix="0" xfId="224">
      <alignment vertical="top" wrapText="1"/>
    </xf>
    <xf numFmtId="49" fontId="6" fillId="4" borderId="2" applyAlignment="1" pivotButton="0" quotePrefix="0" xfId="225">
      <alignment vertical="top" wrapText="1"/>
    </xf>
    <xf numFmtId="49" fontId="6" fillId="5" borderId="2" applyAlignment="1" pivotButton="0" quotePrefix="0" xfId="226">
      <alignment vertical="top" wrapText="1"/>
    </xf>
    <xf numFmtId="49" fontId="6" fillId="6" borderId="2" applyAlignment="1" pivotButton="0" quotePrefix="0" xfId="227">
      <alignment vertical="top" wrapText="1"/>
    </xf>
    <xf numFmtId="49" fontId="6" fillId="7" borderId="2" applyAlignment="1" pivotButton="0" quotePrefix="0" xfId="228">
      <alignment vertical="top" wrapText="1"/>
    </xf>
    <xf numFmtId="49" fontId="6" fillId="8" borderId="2" applyAlignment="1" pivotButton="0" quotePrefix="0" xfId="229">
      <alignment vertical="top" wrapText="1"/>
    </xf>
    <xf numFmtId="49" fontId="6" fillId="9" borderId="2" applyAlignment="1" pivotButton="0" quotePrefix="0" xfId="230">
      <alignment vertical="top" wrapText="1"/>
    </xf>
  </cellXfs>
  <cellStyles count="231">
    <cellStyle name="Normal" xfId="0" builtinId="0" hidden="0"/>
    <cellStyle name="Export header" xfId="1" hidden="0"/>
    <cellStyle name="Export header bordered" xfId="2" hidden="0"/>
    <cellStyle name="Export title" xfId="3" hidden="0"/>
    <cellStyle name="Export note" xfId="4" hidden="0"/>
    <cellStyle name="Export paragraph body" xfId="5" hidden="0"/>
    <cellStyle name="Export paragraph note" xfId="6" hidden="0"/>
    <cellStyle name="Export body ref" xfId="7" hidden="0"/>
    <cellStyle name="Export fill priority_a ref" xfId="8" hidden="0"/>
    <cellStyle name="Export fill priority_b ref" xfId="9" hidden="0"/>
    <cellStyle name="Export fill priority_c ref" xfId="10" hidden="0"/>
    <cellStyle name="Export fill rank_a ref" xfId="11" hidden="0"/>
    <cellStyle name="Export fill rank_b ref" xfId="12" hidden="0"/>
    <cellStyle name="Export fill rank_c ref" xfId="13" hidden="0"/>
    <cellStyle name="Export fill new_row ref" xfId="14" hidden="0"/>
    <cellStyle name="Export body ref bold" xfId="15" hidden="0"/>
    <cellStyle name="Export fill priority_a ref bold" xfId="16" hidden="0"/>
    <cellStyle name="Export fill priority_b ref bold" xfId="17" hidden="0"/>
    <cellStyle name="Export fill priority_c ref bold" xfId="18" hidden="0"/>
    <cellStyle name="Export fill rank_a ref bold" xfId="19" hidden="0"/>
    <cellStyle name="Export fill rank_b ref bold" xfId="20" hidden="0"/>
    <cellStyle name="Export fill rank_c ref bold" xfId="21" hidden="0"/>
    <cellStyle name="Export fill new_row ref bold" xfId="22" hidden="0"/>
    <cellStyle name="Export body code" xfId="23" hidden="0"/>
    <cellStyle name="Export fill priority_a code" xfId="24" hidden="0"/>
    <cellStyle name="Export fill priority_b code" xfId="25" hidden="0"/>
    <cellStyle name="Export fill priority_c code" xfId="26" hidden="0"/>
    <cellStyle name="Export fill rank_a code" xfId="27" hidden="0"/>
    <cellStyle name="Export fill rank_b code" xfId="28" hidden="0"/>
    <cellStyle name="Export fill rank_c code" xfId="29" hidden="0"/>
    <cellStyle name="Export fill new_row code" xfId="30" hidden="0"/>
    <cellStyle name="Export body code bold" xfId="31" hidden="0"/>
    <cellStyle name="Export fill priority_a code bold" xfId="32" hidden="0"/>
    <cellStyle name="Export fill priority_b code bold" xfId="33" hidden="0"/>
    <cellStyle name="Export fill priority_c code bold" xfId="34" hidden="0"/>
    <cellStyle name="Export fill rank_a code bold" xfId="35" hidden="0"/>
    <cellStyle name="Export fill rank_b code bold" xfId="36" hidden="0"/>
    <cellStyle name="Export fill rank_c code bold" xfId="37" hidden="0"/>
    <cellStyle name="Export fill new_row code bold" xfId="38" hidden="0"/>
    <cellStyle name="Export body label" xfId="39" hidden="0"/>
    <cellStyle name="Export fill priority_a label" xfId="40" hidden="0"/>
    <cellStyle name="Export fill priority_b label" xfId="41" hidden="0"/>
    <cellStyle name="Export fill priority_c label" xfId="42" hidden="0"/>
    <cellStyle name="Export fill rank_a label" xfId="43" hidden="0"/>
    <cellStyle name="Export fill rank_b label" xfId="44" hidden="0"/>
    <cellStyle name="Export fill rank_c label" xfId="45" hidden="0"/>
    <cellStyle name="Export fill new_row label" xfId="46" hidden="0"/>
    <cellStyle name="Export body label bold" xfId="47" hidden="0"/>
    <cellStyle name="Export fill priority_a label bold" xfId="48" hidden="0"/>
    <cellStyle name="Export fill priority_b label bold" xfId="49" hidden="0"/>
    <cellStyle name="Export fill priority_c label bold" xfId="50" hidden="0"/>
    <cellStyle name="Export fill rank_a label bold" xfId="51" hidden="0"/>
    <cellStyle name="Export fill rank_b label bold" xfId="52" hidden="0"/>
    <cellStyle name="Export fill rank_c label bold" xfId="53" hidden="0"/>
    <cellStyle name="Export fill new_row label bold" xfId="54" hidden="0"/>
    <cellStyle name="Export body text_short" xfId="55" hidden="0"/>
    <cellStyle name="Export fill priority_a text_short" xfId="56" hidden="0"/>
    <cellStyle name="Export fill priority_b text_short" xfId="57" hidden="0"/>
    <cellStyle name="Export fill priority_c text_short" xfId="58" hidden="0"/>
    <cellStyle name="Export fill rank_a text_short" xfId="59" hidden="0"/>
    <cellStyle name="Export fill rank_b text_short" xfId="60" hidden="0"/>
    <cellStyle name="Export fill rank_c text_short" xfId="61" hidden="0"/>
    <cellStyle name="Export fill new_row text_short" xfId="62" hidden="0"/>
    <cellStyle name="Export body text_short bold" xfId="63" hidden="0"/>
    <cellStyle name="Export fill priority_a text_short bold" xfId="64" hidden="0"/>
    <cellStyle name="Export fill priority_b text_short bold" xfId="65" hidden="0"/>
    <cellStyle name="Export fill priority_c text_short bold" xfId="66" hidden="0"/>
    <cellStyle name="Export fill rank_a text_short bold" xfId="67" hidden="0"/>
    <cellStyle name="Export fill rank_b text_short bold" xfId="68" hidden="0"/>
    <cellStyle name="Export fill rank_c text_short bold" xfId="69" hidden="0"/>
    <cellStyle name="Export fill new_row text_short bold" xfId="70" hidden="0"/>
    <cellStyle name="Export body text_long" xfId="71" hidden="0"/>
    <cellStyle name="Export fill priority_a text_long" xfId="72" hidden="0"/>
    <cellStyle name="Export fill priority_b text_long" xfId="73" hidden="0"/>
    <cellStyle name="Export fill priority_c text_long" xfId="74" hidden="0"/>
    <cellStyle name="Export fill rank_a text_long" xfId="75" hidden="0"/>
    <cellStyle name="Export fill rank_b text_long" xfId="76" hidden="0"/>
    <cellStyle name="Export fill rank_c text_long" xfId="77" hidden="0"/>
    <cellStyle name="Export fill new_row text_long" xfId="78" hidden="0"/>
    <cellStyle name="Export body text_long bold" xfId="79" hidden="0"/>
    <cellStyle name="Export fill priority_a text_long bold" xfId="80" hidden="0"/>
    <cellStyle name="Export fill priority_b text_long bold" xfId="81" hidden="0"/>
    <cellStyle name="Export fill priority_c text_long bold" xfId="82" hidden="0"/>
    <cellStyle name="Export fill rank_a text_long bold" xfId="83" hidden="0"/>
    <cellStyle name="Export fill rank_b text_long bold" xfId="84" hidden="0"/>
    <cellStyle name="Export fill rank_c text_long bold" xfId="85" hidden="0"/>
    <cellStyle name="Export fill new_row text_long bold" xfId="86" hidden="0"/>
    <cellStyle name="Export body url" xfId="87" hidden="0"/>
    <cellStyle name="Export fill priority_a url" xfId="88" hidden="0"/>
    <cellStyle name="Export fill priority_b url" xfId="89" hidden="0"/>
    <cellStyle name="Export fill priority_c url" xfId="90" hidden="0"/>
    <cellStyle name="Export fill rank_a url" xfId="91" hidden="0"/>
    <cellStyle name="Export fill rank_b url" xfId="92" hidden="0"/>
    <cellStyle name="Export fill rank_c url" xfId="93" hidden="0"/>
    <cellStyle name="Export fill new_row url" xfId="94" hidden="0"/>
    <cellStyle name="Export body url bold" xfId="95" hidden="0"/>
    <cellStyle name="Export fill priority_a url bold" xfId="96" hidden="0"/>
    <cellStyle name="Export fill priority_b url bold" xfId="97" hidden="0"/>
    <cellStyle name="Export fill priority_c url bold" xfId="98" hidden="0"/>
    <cellStyle name="Export fill rank_a url bold" xfId="99" hidden="0"/>
    <cellStyle name="Export fill rank_b url bold" xfId="100" hidden="0"/>
    <cellStyle name="Export fill rank_c url bold" xfId="101" hidden="0"/>
    <cellStyle name="Export fill new_row url bold" xfId="102" hidden="0"/>
    <cellStyle name="Export body date" xfId="103" hidden="0"/>
    <cellStyle name="Export fill priority_a date" xfId="104" hidden="0"/>
    <cellStyle name="Export fill priority_b date" xfId="105" hidden="0"/>
    <cellStyle name="Export fill priority_c date" xfId="106" hidden="0"/>
    <cellStyle name="Export fill rank_a date" xfId="107" hidden="0"/>
    <cellStyle name="Export fill rank_b date" xfId="108" hidden="0"/>
    <cellStyle name="Export fill rank_c date" xfId="109" hidden="0"/>
    <cellStyle name="Export fill new_row date" xfId="110" hidden="0"/>
    <cellStyle name="Export body date bold" xfId="111" hidden="0"/>
    <cellStyle name="Export fill priority_a date bold" xfId="112" hidden="0"/>
    <cellStyle name="Export fill priority_b date bold" xfId="113" hidden="0"/>
    <cellStyle name="Export fill priority_c date bold" xfId="114" hidden="0"/>
    <cellStyle name="Export fill rank_a date bold" xfId="115" hidden="0"/>
    <cellStyle name="Export fill rank_b date bold" xfId="116" hidden="0"/>
    <cellStyle name="Export fill rank_c date bold" xfId="117" hidden="0"/>
    <cellStyle name="Export fill new_row date bold" xfId="118" hidden="0"/>
    <cellStyle name="Export body count" xfId="119" hidden="0"/>
    <cellStyle name="Export fill priority_a count" xfId="120" hidden="0"/>
    <cellStyle name="Export fill priority_b count" xfId="121" hidden="0"/>
    <cellStyle name="Export fill priority_c count" xfId="122" hidden="0"/>
    <cellStyle name="Export fill rank_a count" xfId="123" hidden="0"/>
    <cellStyle name="Export fill rank_b count" xfId="124" hidden="0"/>
    <cellStyle name="Export fill rank_c count" xfId="125" hidden="0"/>
    <cellStyle name="Export fill new_row count" xfId="126" hidden="0"/>
    <cellStyle name="Export body count bold" xfId="127" hidden="0"/>
    <cellStyle name="Export fill priority_a count bold" xfId="128" hidden="0"/>
    <cellStyle name="Export fill priority_b count bold" xfId="129" hidden="0"/>
    <cellStyle name="Export fill priority_c count bold" xfId="130" hidden="0"/>
    <cellStyle name="Export fill rank_a count bold" xfId="131" hidden="0"/>
    <cellStyle name="Export fill rank_b count bold" xfId="132" hidden="0"/>
    <cellStyle name="Export fill rank_c count bold" xfId="133" hidden="0"/>
    <cellStyle name="Export fill new_row count bold" xfId="134" hidden="0"/>
    <cellStyle name="Export body percent" xfId="135" hidden="0"/>
    <cellStyle name="Export fill priority_a percent" xfId="136" hidden="0"/>
    <cellStyle name="Export fill priority_b percent" xfId="137" hidden="0"/>
    <cellStyle name="Export fill priority_c percent" xfId="138" hidden="0"/>
    <cellStyle name="Export fill rank_a percent" xfId="139" hidden="0"/>
    <cellStyle name="Export fill rank_b percent" xfId="140" hidden="0"/>
    <cellStyle name="Export fill rank_c percent" xfId="141" hidden="0"/>
    <cellStyle name="Export fill new_row percent" xfId="142" hidden="0"/>
    <cellStyle name="Export body percent bold" xfId="143" hidden="0"/>
    <cellStyle name="Export fill priority_a percent bold" xfId="144" hidden="0"/>
    <cellStyle name="Export fill priority_b percent bold" xfId="145" hidden="0"/>
    <cellStyle name="Export fill priority_c percent bold" xfId="146" hidden="0"/>
    <cellStyle name="Export fill rank_a percent bold" xfId="147" hidden="0"/>
    <cellStyle name="Export fill rank_b percent bold" xfId="148" hidden="0"/>
    <cellStyle name="Export fill rank_c percent bold" xfId="149" hidden="0"/>
    <cellStyle name="Export fill new_row percent bold" xfId="150" hidden="0"/>
    <cellStyle name="Export link" xfId="151" hidden="0"/>
    <cellStyle name="Export link fill priority_a" xfId="152" hidden="0"/>
    <cellStyle name="Export link fill priority_b" xfId="153" hidden="0"/>
    <cellStyle name="Export link fill priority_c" xfId="154" hidden="0"/>
    <cellStyle name="Export link fill rank_a" xfId="155" hidden="0"/>
    <cellStyle name="Export link fill rank_b" xfId="156" hidden="0"/>
    <cellStyle name="Export link fill rank_c" xfId="157" hidden="0"/>
    <cellStyle name="Export link fill new_row" xfId="158" hidden="0"/>
    <cellStyle name="Export link bold" xfId="159" hidden="0"/>
    <cellStyle name="Export link bold fill priority_a" xfId="160" hidden="0"/>
    <cellStyle name="Export link bold fill priority_b" xfId="161" hidden="0"/>
    <cellStyle name="Export link bold fill priority_c" xfId="162" hidden="0"/>
    <cellStyle name="Export link bold fill rank_a" xfId="163" hidden="0"/>
    <cellStyle name="Export link bold fill rank_b" xfId="164" hidden="0"/>
    <cellStyle name="Export link bold fill rank_c" xfId="165" hidden="0"/>
    <cellStyle name="Export link bold fill new_row" xfId="166" hidden="0"/>
    <cellStyle name="Export body label wrap" xfId="167" hidden="0"/>
    <cellStyle name="Export fill priority_a label wrap" xfId="168" hidden="0"/>
    <cellStyle name="Export fill priority_b label wrap" xfId="169" hidden="0"/>
    <cellStyle name="Export fill priority_c label wrap" xfId="170" hidden="0"/>
    <cellStyle name="Export fill rank_a label wrap" xfId="171" hidden="0"/>
    <cellStyle name="Export fill rank_b label wrap" xfId="172" hidden="0"/>
    <cellStyle name="Export fill rank_c label wrap" xfId="173" hidden="0"/>
    <cellStyle name="Export fill new_row label wrap" xfId="174" hidden="0"/>
    <cellStyle name="Export body label wrap bold" xfId="175" hidden="0"/>
    <cellStyle name="Export fill priority_a label wrap bold" xfId="176" hidden="0"/>
    <cellStyle name="Export fill priority_b label wrap bold" xfId="177" hidden="0"/>
    <cellStyle name="Export fill priority_c label wrap bold" xfId="178" hidden="0"/>
    <cellStyle name="Export fill rank_a label wrap bold" xfId="179" hidden="0"/>
    <cellStyle name="Export fill rank_b label wrap bold" xfId="180" hidden="0"/>
    <cellStyle name="Export fill rank_c label wrap bold" xfId="181" hidden="0"/>
    <cellStyle name="Export fill new_row label wrap bold" xfId="182" hidden="0"/>
    <cellStyle name="Export body label center" xfId="183" hidden="0"/>
    <cellStyle name="Export fill priority_a label center" xfId="184" hidden="0"/>
    <cellStyle name="Export fill priority_b label center" xfId="185" hidden="0"/>
    <cellStyle name="Export fill priority_c label center" xfId="186" hidden="0"/>
    <cellStyle name="Export fill rank_a label center" xfId="187" hidden="0"/>
    <cellStyle name="Export fill rank_b label center" xfId="188" hidden="0"/>
    <cellStyle name="Export fill rank_c label center" xfId="189" hidden="0"/>
    <cellStyle name="Export fill new_row label center" xfId="190" hidden="0"/>
    <cellStyle name="Export body label center bold" xfId="191" hidden="0"/>
    <cellStyle name="Export fill priority_a label center bold" xfId="192" hidden="0"/>
    <cellStyle name="Export fill priority_b label center bold" xfId="193" hidden="0"/>
    <cellStyle name="Export fill priority_c label center bold" xfId="194" hidden="0"/>
    <cellStyle name="Export fill rank_a label center bold" xfId="195" hidden="0"/>
    <cellStyle name="Export fill rank_b label center bold" xfId="196" hidden="0"/>
    <cellStyle name="Export fill rank_c label center bold" xfId="197" hidden="0"/>
    <cellStyle name="Export fill new_row label center bold" xfId="198" hidden="0"/>
    <cellStyle name="Export body url wrap" xfId="199" hidden="0"/>
    <cellStyle name="Export fill priority_a url wrap" xfId="200" hidden="0"/>
    <cellStyle name="Export fill priority_b url wrap" xfId="201" hidden="0"/>
    <cellStyle name="Export fill priority_c url wrap" xfId="202" hidden="0"/>
    <cellStyle name="Export fill rank_a url wrap" xfId="203" hidden="0"/>
    <cellStyle name="Export fill rank_b url wrap" xfId="204" hidden="0"/>
    <cellStyle name="Export fill rank_c url wrap" xfId="205" hidden="0"/>
    <cellStyle name="Export fill new_row url wrap" xfId="206" hidden="0"/>
    <cellStyle name="Export body url wrap bold" xfId="207" hidden="0"/>
    <cellStyle name="Export fill priority_a url wrap bold" xfId="208" hidden="0"/>
    <cellStyle name="Export fill priority_b url wrap bold" xfId="209" hidden="0"/>
    <cellStyle name="Export fill priority_c url wrap bold" xfId="210" hidden="0"/>
    <cellStyle name="Export fill rank_a url wrap bold" xfId="211" hidden="0"/>
    <cellStyle name="Export fill rank_b url wrap bold" xfId="212" hidden="0"/>
    <cellStyle name="Export fill rank_c url wrap bold" xfId="213" hidden="0"/>
    <cellStyle name="Export fill new_row url wrap bold" xfId="214" hidden="0"/>
    <cellStyle name="Export link wrap" xfId="215" hidden="0"/>
    <cellStyle name="Export link wrap fill priority_a" xfId="216" hidden="0"/>
    <cellStyle name="Export link wrap fill priority_b" xfId="217" hidden="0"/>
    <cellStyle name="Export link wrap fill priority_c" xfId="218" hidden="0"/>
    <cellStyle name="Export link wrap fill rank_a" xfId="219" hidden="0"/>
    <cellStyle name="Export link wrap fill rank_b" xfId="220" hidden="0"/>
    <cellStyle name="Export link wrap fill rank_c" xfId="221" hidden="0"/>
    <cellStyle name="Export link wrap fill new_row" xfId="222" hidden="0"/>
    <cellStyle name="Export link wrap bold" xfId="223" hidden="0"/>
    <cellStyle name="Export link wrap bold fill priority_a" xfId="224" hidden="0"/>
    <cellStyle name="Export link wrap bold fill priority_b" xfId="225" hidden="0"/>
    <cellStyle name="Export link wrap bold fill priority_c" xfId="226" hidden="0"/>
    <cellStyle name="Export link wrap bold fill rank_a" xfId="227" hidden="0"/>
    <cellStyle name="Export link wrap bold fill rank_b" xfId="228" hidden="0"/>
    <cellStyle name="Export link wrap bold fill rank_c" xfId="229" hidden="0"/>
    <cellStyle name="Export link wrap bold fill new_row" xfId="23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33"/>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s>
  <sheetData>
    <row r="1" ht="18" customHeight="1">
      <c r="A1" s="3" t="inlineStr">
        <is>
          <t>Orion Systems people list, deduplicated</t>
        </is>
      </c>
    </row>
    <row r="3" ht="58" customHeight="1">
      <c r="A3" s="5" t="inlineStr">
        <is>
          <t>This is the single people list for the Orion Systems account. Duplicates removed by profile link and by name. Pulled by 6th agents on 29 October 2026.</t>
        </is>
      </c>
    </row>
    <row r="4" ht="58" customHeight="1">
      <c r="A4" s="5" t="inlineStr">
        <is>
          <t>No rows were removed before this list.</t>
        </is>
      </c>
    </row>
    <row r="5" ht="58" customHeight="1">
      <c r="A5" s="5" t="inlineStr">
        <is>
          <t>No one was excluded by title (security, IT compliance, IT audit or privacy).</t>
        </is>
      </c>
    </row>
    <row r="6" ht="58" customHeight="1">
      <c r="A6" s="5" t="inlineStr">
        <is>
          <t>Seniority rule: Director and above, Head, and Senior Manager. People below that level are kept only when the title names a platform or technology, because they confirm what is in use. Filter Meets seniority rule to Yes for the target list.</t>
        </is>
      </c>
    </row>
    <row r="7" ht="58" customHeight="1">
      <c r="A7" s="5" t="inlineStr">
        <is>
          <t>Titles are self reported on public profiles and are not verified. Level, lane and priority are our judgment from the title alone (A: owns or runs a lane platform, its data or its program, or is the executive the lane reports to; B: senior and relevant; C: senior but outside the lanes). Correct them in the People sheet and the counts below update. Former SI and consulting employers come from the full profiles and cover any point in a career.</t>
        </is>
      </c>
    </row>
    <row r="8" ht="58" customHeight="1">
      <c r="A8" s="5" t="inlineStr">
        <is>
          <t>Entity labels: people of a business that Orion Systems has sold or combined with another company may still show Orion Systems as employer; check before outreach.</t>
        </is>
      </c>
    </row>
    <row r="11">
      <c r="A11" s="2" t="inlineStr">
        <is>
          <t>Level</t>
        </is>
      </c>
      <c r="B11" s="2" t="inlineStr">
        <is>
          <t>People</t>
        </is>
      </c>
      <c r="C11" s="2" t="inlineStr">
        <is>
          <t>Priority A</t>
        </is>
      </c>
    </row>
    <row r="12">
      <c r="A12" s="55" t="inlineStr">
        <is>
          <t>C-level, EVP and SVP</t>
        </is>
      </c>
      <c r="B12" s="119">
        <f>COUNTIF(People!$D$2:$D$2,A12)</f>
        <v/>
      </c>
      <c r="C12" s="119">
        <f>COUNTIFS(People!$D$2:$D$2,A12,People!$G$2:$G$2,"A")</f>
        <v/>
      </c>
    </row>
    <row r="13">
      <c r="A13" s="55" t="inlineStr">
        <is>
          <t>VP</t>
        </is>
      </c>
      <c r="B13" s="119">
        <f>COUNTIF(People!$D$2:$D$2,A13)</f>
        <v/>
      </c>
      <c r="C13" s="119">
        <f>COUNTIFS(People!$D$2:$D$2,A13,People!$G$2:$G$2,"A")</f>
        <v/>
      </c>
    </row>
    <row r="14">
      <c r="A14" s="55" t="inlineStr">
        <is>
          <t>Senior Director</t>
        </is>
      </c>
      <c r="B14" s="119">
        <f>COUNTIF(People!$D$2:$D$2,A14)</f>
        <v/>
      </c>
      <c r="C14" s="119">
        <f>COUNTIFS(People!$D$2:$D$2,A14,People!$G$2:$G$2,"A")</f>
        <v/>
      </c>
    </row>
    <row r="15">
      <c r="A15" s="55" t="inlineStr">
        <is>
          <t>Director</t>
        </is>
      </c>
      <c r="B15" s="119">
        <f>COUNTIF(People!$D$2:$D$2,A15)</f>
        <v/>
      </c>
      <c r="C15" s="119">
        <f>COUNTIFS(People!$D$2:$D$2,A15,People!$G$2:$G$2,"A")</f>
        <v/>
      </c>
    </row>
    <row r="16">
      <c r="A16" s="55" t="inlineStr">
        <is>
          <t>Associate Director</t>
        </is>
      </c>
      <c r="B16" s="119">
        <f>COUNTIF(People!$D$2:$D$2,A16)</f>
        <v/>
      </c>
      <c r="C16" s="119">
        <f>COUNTIFS(People!$D$2:$D$2,A16,People!$G$2:$G$2,"A")</f>
        <v/>
      </c>
    </row>
    <row r="17">
      <c r="A17" s="55" t="inlineStr">
        <is>
          <t>Head</t>
        </is>
      </c>
      <c r="B17" s="119">
        <f>COUNTIF(People!$D$2:$D$2,A17)</f>
        <v/>
      </c>
      <c r="C17" s="119">
        <f>COUNTIFS(People!$D$2:$D$2,A17,People!$G$2:$G$2,"A")</f>
        <v/>
      </c>
    </row>
    <row r="18">
      <c r="A18" s="55" t="inlineStr">
        <is>
          <t>Senior Manager</t>
        </is>
      </c>
      <c r="B18" s="119">
        <f>COUNTIF(People!$D$2:$D$2,A18)</f>
        <v/>
      </c>
      <c r="C18" s="119">
        <f>COUNTIFS(People!$D$2:$D$2,A18,People!$G$2:$G$2,"A")</f>
        <v/>
      </c>
    </row>
    <row r="19">
      <c r="A19" s="55" t="inlineStr">
        <is>
          <t>Manager</t>
        </is>
      </c>
      <c r="B19" s="119">
        <f>COUNTIF(People!$D$2:$D$2,A19)</f>
        <v/>
      </c>
      <c r="C19" s="119">
        <f>COUNTIFS(People!$D$2:$D$2,A19,People!$G$2:$G$2,"A")</f>
        <v/>
      </c>
    </row>
    <row r="20">
      <c r="A20" s="55" t="inlineStr">
        <is>
          <t>Lead, owner, specialist or developer</t>
        </is>
      </c>
      <c r="B20" s="119">
        <f>COUNTIF(People!$D$2:$D$2,A20)</f>
        <v/>
      </c>
      <c r="C20" s="119">
        <f>COUNTIFS(People!$D$2:$D$2,A20,People!$G$2:$G$2,"A")</f>
        <v/>
      </c>
    </row>
    <row r="21">
      <c r="A21" s="63" t="inlineStr">
        <is>
          <t>Total</t>
        </is>
      </c>
      <c r="B21" s="127">
        <f>SUM(B12:B20)</f>
        <v/>
      </c>
      <c r="C21" s="127">
        <f>SUM(C12:C20)</f>
        <v/>
      </c>
    </row>
    <row r="22">
      <c r="A22" s="55" t="inlineStr">
        <is>
          <t>Meets seniority rule</t>
        </is>
      </c>
      <c r="B22" s="119">
        <f>COUNTIF(People!$E$2:$E$2,"Yes")</f>
        <v/>
      </c>
    </row>
    <row r="24">
      <c r="A24" s="2" t="inlineStr">
        <is>
          <t>Lane, senior people only</t>
        </is>
      </c>
      <c r="B24" s="2" t="inlineStr">
        <is>
          <t>A</t>
        </is>
      </c>
      <c r="C24" s="2" t="inlineStr">
        <is>
          <t>B</t>
        </is>
      </c>
      <c r="D24" s="2" t="inlineStr">
        <is>
          <t>C</t>
        </is>
      </c>
      <c r="E24" s="2" t="inlineStr">
        <is>
          <t>Total</t>
        </is>
      </c>
    </row>
    <row r="25">
      <c r="A25" s="55" t="inlineStr">
        <is>
          <t>Salesforce and commercial</t>
        </is>
      </c>
      <c r="B25" s="119">
        <f>COUNTIFS(People!$F$2:$F$2,$A25,People!$G$2:$G$2,"A",People!$E$2:$E$2,"Yes")</f>
        <v/>
      </c>
      <c r="C25" s="119">
        <f>COUNTIFS(People!$F$2:$F$2,$A25,People!$G$2:$G$2,"B",People!$E$2:$E$2,"Yes")</f>
        <v/>
      </c>
      <c r="D25" s="119">
        <f>COUNTIFS(People!$F$2:$F$2,$A25,People!$G$2:$G$2,"C",People!$E$2:$E$2,"Yes")</f>
        <v/>
      </c>
      <c r="E25" s="119">
        <f>SUM(B25:D25)</f>
        <v/>
      </c>
    </row>
    <row r="26">
      <c r="A26" s="55" t="inlineStr">
        <is>
          <t>Salesforce (MuleSoft and integration)</t>
        </is>
      </c>
      <c r="B26" s="119">
        <f>COUNTIFS(People!$F$2:$F$2,$A26,People!$G$2:$G$2,"A",People!$E$2:$E$2,"Yes")</f>
        <v/>
      </c>
      <c r="C26" s="119">
        <f>COUNTIFS(People!$F$2:$F$2,$A26,People!$G$2:$G$2,"B",People!$E$2:$E$2,"Yes")</f>
        <v/>
      </c>
      <c r="D26" s="119">
        <f>COUNTIFS(People!$F$2:$F$2,$A26,People!$G$2:$G$2,"C",People!$E$2:$E$2,"Yes")</f>
        <v/>
      </c>
      <c r="E26" s="119">
        <f>SUM(B26:D26)</f>
        <v/>
      </c>
    </row>
    <row r="27">
      <c r="A27" s="55" t="inlineStr">
        <is>
          <t>ServiceNow and shared services</t>
        </is>
      </c>
      <c r="B27" s="119">
        <f>COUNTIFS(People!$F$2:$F$2,$A27,People!$G$2:$G$2,"A",People!$E$2:$E$2,"Yes")</f>
        <v/>
      </c>
      <c r="C27" s="119">
        <f>COUNTIFS(People!$F$2:$F$2,$A27,People!$G$2:$G$2,"B",People!$E$2:$E$2,"Yes")</f>
        <v/>
      </c>
      <c r="D27" s="119">
        <f>COUNTIFS(People!$F$2:$F$2,$A27,People!$G$2:$G$2,"C",People!$E$2:$E$2,"Yes")</f>
        <v/>
      </c>
      <c r="E27" s="119">
        <f>SUM(B27:D27)</f>
        <v/>
      </c>
    </row>
    <row r="28">
      <c r="A28" s="55" t="inlineStr">
        <is>
          <t>SAP and ERP</t>
        </is>
      </c>
      <c r="B28" s="119">
        <f>COUNTIFS(People!$F$2:$F$2,$A28,People!$G$2:$G$2,"A",People!$E$2:$E$2,"Yes")</f>
        <v/>
      </c>
      <c r="C28" s="119">
        <f>COUNTIFS(People!$F$2:$F$2,$A28,People!$G$2:$G$2,"B",People!$E$2:$E$2,"Yes")</f>
        <v/>
      </c>
      <c r="D28" s="119">
        <f>COUNTIFS(People!$F$2:$F$2,$A28,People!$G$2:$G$2,"C",People!$E$2:$E$2,"Yes")</f>
        <v/>
      </c>
      <c r="E28" s="119">
        <f>SUM(B28:D28)</f>
        <v/>
      </c>
    </row>
    <row r="29">
      <c r="A29" s="55" t="inlineStr">
        <is>
          <t>Veeva and life sciences systems</t>
        </is>
      </c>
      <c r="B29" s="119">
        <f>COUNTIFS(People!$F$2:$F$2,$A29,People!$G$2:$G$2,"A",People!$E$2:$E$2,"Yes")</f>
        <v/>
      </c>
      <c r="C29" s="119">
        <f>COUNTIFS(People!$F$2:$F$2,$A29,People!$G$2:$G$2,"B",People!$E$2:$E$2,"Yes")</f>
        <v/>
      </c>
      <c r="D29" s="119">
        <f>COUNTIFS(People!$F$2:$F$2,$A29,People!$G$2:$G$2,"C",People!$E$2:$E$2,"Yes")</f>
        <v/>
      </c>
      <c r="E29" s="119">
        <f>SUM(B29:D29)</f>
        <v/>
      </c>
    </row>
    <row r="30">
      <c r="A30" s="55" t="inlineStr">
        <is>
          <t>Analytics, data and AI</t>
        </is>
      </c>
      <c r="B30" s="119">
        <f>COUNTIFS(People!$F$2:$F$2,$A30,People!$G$2:$G$2,"A",People!$E$2:$E$2,"Yes")</f>
        <v/>
      </c>
      <c r="C30" s="119">
        <f>COUNTIFS(People!$F$2:$F$2,$A30,People!$G$2:$G$2,"B",People!$E$2:$E$2,"Yes")</f>
        <v/>
      </c>
      <c r="D30" s="119">
        <f>COUNTIFS(People!$F$2:$F$2,$A30,People!$G$2:$G$2,"C",People!$E$2:$E$2,"Yes")</f>
        <v/>
      </c>
      <c r="E30" s="119">
        <f>SUM(B30:D30)</f>
        <v/>
      </c>
    </row>
    <row r="31">
      <c r="A31" s="55" t="inlineStr">
        <is>
          <t>Technology, digital and IT leadership</t>
        </is>
      </c>
      <c r="B31" s="119">
        <f>COUNTIFS(People!$F$2:$F$2,$A31,People!$G$2:$G$2,"A",People!$E$2:$E$2,"Yes")</f>
        <v/>
      </c>
      <c r="C31" s="119">
        <f>COUNTIFS(People!$F$2:$F$2,$A31,People!$G$2:$G$2,"B",People!$E$2:$E$2,"Yes")</f>
        <v/>
      </c>
      <c r="D31" s="119">
        <f>COUNTIFS(People!$F$2:$F$2,$A31,People!$G$2:$G$2,"C",People!$E$2:$E$2,"Yes")</f>
        <v/>
      </c>
      <c r="E31" s="119">
        <f>SUM(B31:D31)</f>
        <v/>
      </c>
    </row>
    <row r="32">
      <c r="A32" s="55" t="inlineStr">
        <is>
          <t>Business leadership and other</t>
        </is>
      </c>
      <c r="B32" s="119">
        <f>COUNTIFS(People!$F$2:$F$2,$A32,People!$G$2:$G$2,"A",People!$E$2:$E$2,"Yes")</f>
        <v/>
      </c>
      <c r="C32" s="119">
        <f>COUNTIFS(People!$F$2:$F$2,$A32,People!$G$2:$G$2,"B",People!$E$2:$E$2,"Yes")</f>
        <v/>
      </c>
      <c r="D32" s="119">
        <f>COUNTIFS(People!$F$2:$F$2,$A32,People!$G$2:$G$2,"C",People!$E$2:$E$2,"Yes")</f>
        <v/>
      </c>
      <c r="E32" s="119">
        <f>SUM(B32:D32)</f>
        <v/>
      </c>
    </row>
    <row r="33">
      <c r="A33" s="63" t="inlineStr">
        <is>
          <t>Total</t>
        </is>
      </c>
      <c r="B33" s="127">
        <f>SUM(B25:B32)</f>
        <v/>
      </c>
      <c r="C33" s="127">
        <f>SUM(C25:C32)</f>
        <v/>
      </c>
      <c r="D33" s="127">
        <f>SUM(D25:D32)</f>
        <v/>
      </c>
      <c r="E33" s="127">
        <f>SUM(E25:E32)</f>
        <v/>
      </c>
    </row>
  </sheetData>
  <mergeCells count="6">
    <mergeCell ref="A5:F5"/>
    <mergeCell ref="A8:F8"/>
    <mergeCell ref="A6:F6"/>
    <mergeCell ref="A4:F4"/>
    <mergeCell ref="A3:F3"/>
    <mergeCell ref="A7:F7"/>
  </mergeCells>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56" customWidth="1" min="3" max="3"/>
    <col width="22" customWidth="1" min="4" max="4"/>
    <col width="11" customWidth="1" min="5" max="5"/>
    <col width="30" customWidth="1" min="6" max="6"/>
    <col width="9" customWidth="1" min="7" max="7"/>
    <col width="30" customWidth="1" min="8" max="8"/>
    <col width="30" customWidth="1" min="9" max="9"/>
    <col width="13" customWidth="1" min="10" max="10"/>
    <col width="13" customWidth="1" min="11" max="11"/>
    <col width="24" customWidth="1" min="12" max="12"/>
    <col width="50" customWidth="1" min="13" max="13"/>
    <col width="9" customWidth="1" min="14" max="14"/>
    <col width="10" customWidth="1" min="15" max="15"/>
  </cols>
  <sheetData>
    <row r="1" ht="32" customHeight="1">
      <c r="A1" s="1" t="inlineStr">
        <is>
          <t>No.</t>
        </is>
      </c>
      <c r="B1" s="1" t="inlineStr">
        <is>
          <t>Name</t>
        </is>
      </c>
      <c r="C1" s="1" t="inlineStr">
        <is>
          <t>Title as reported</t>
        </is>
      </c>
      <c r="D1" s="1" t="inlineStr">
        <is>
          <t>Level</t>
        </is>
      </c>
      <c r="E1" s="1" t="inlineStr">
        <is>
          <t>Meets seniority rule</t>
        </is>
      </c>
      <c r="F1" s="1" t="inlineStr">
        <is>
          <t>Lane</t>
        </is>
      </c>
      <c r="G1" s="1" t="inlineStr">
        <is>
          <t>Priority</t>
        </is>
      </c>
      <c r="H1" s="1" t="inlineStr">
        <is>
          <t>Former SI and consulting employers (firm and years)</t>
        </is>
      </c>
      <c r="I1" s="1" t="inlineStr">
        <is>
          <t>Found by</t>
        </is>
      </c>
      <c r="J1" s="1" t="inlineStr">
        <is>
          <t>LinkedIn</t>
        </is>
      </c>
      <c r="K1" s="1" t="inlineStr">
        <is>
          <t>Second profile</t>
        </is>
      </c>
      <c r="L1" s="1" t="inlineStr">
        <is>
          <t>Location</t>
        </is>
      </c>
      <c r="M1" s="1" t="inlineStr">
        <is>
          <t>Note</t>
        </is>
      </c>
      <c r="N1" s="1" t="inlineStr">
        <is>
          <t>Ref</t>
        </is>
      </c>
      <c r="O1" s="1" t="inlineStr">
        <is>
          <t>Source</t>
        </is>
      </c>
    </row>
    <row r="3">
      <c r="A3" s="4" t="inlineStr">
        <is>
          <t>None found. The coverage tracker records what was searched and with what result.</t>
        </is>
      </c>
    </row>
  </sheetData>
  <autoFilter ref="A1:O1"/>
  <pageMargins left="0.75" right="0.75" top="1" bottom="1" header="0.5" footer="0.5"/>
  <pageSetup orientation="landscape" paperSize="1" fitToHeight="0" fitToWidth="1"/>
</worksheet>
</file>

<file path=docProps/app.xml><?xml version="1.0" encoding="utf-8"?>
<Properties xmlns="http://schemas.openxmlformats.org/officeDocument/2006/extended-properties" xmlns:vt="http://schemas.openxmlformats.org/officeDocument/2006/docPropsVTypes">
  <Company>6th agents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Orion Systems People List</dc:title>
  <dc:creator>6th agents</dc:creator>
  <cp:lastModifiedBy>6th agents</cp:lastModifiedBy>
  <dcterms:created xsi:type="dcterms:W3CDTF">2026-10-29T00:00:00Z</dcterms:created>
  <dcterms:modified xsi:type="dcterms:W3CDTF">2026-10-29T00:00:00Z</dcterms:modified>
</cp:coreProperties>
</file>