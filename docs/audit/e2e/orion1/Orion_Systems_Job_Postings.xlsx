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Counts" sheetId="3" state="visible" r:id="rId3"/>
    <sheet xmlns:r="http://schemas.openxmlformats.org/officeDocument/2006/relationships" name="Long text" sheetId="4" state="visible" r:id="rId4"/>
  </sheets>
  <definedNames>
    <definedName name="_xlnm._FilterDatabase" localSheetId="1" hidden="1">'Jobs'!$A$1:$R$4</definedName>
    <definedName name="_xlnm._FilterDatabase" localSheetId="2" hidden="1">'Counts'!$A$1:$C$19</definedName>
    <definedName name="_xlnm._FilterDatabase" localSheetId="3" hidden="1">'Long text'!$A$1:$E$1</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183">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cellStyleXfs>
  <cellXfs count="183">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2" applyAlignment="1" pivotButton="0" quotePrefix="0" xfId="167">
      <alignment vertical="top"/>
    </xf>
    <xf numFmtId="49" fontId="0" fillId="3" borderId="2" applyAlignment="1" pivotButton="0" quotePrefix="0" xfId="168">
      <alignment vertical="top"/>
    </xf>
    <xf numFmtId="49" fontId="0" fillId="4" borderId="2" applyAlignment="1" pivotButton="0" quotePrefix="0" xfId="169">
      <alignment vertical="top"/>
    </xf>
    <xf numFmtId="49" fontId="0" fillId="5" borderId="2" applyAlignment="1" pivotButton="0" quotePrefix="0" xfId="170">
      <alignment vertical="top"/>
    </xf>
    <xf numFmtId="49" fontId="0" fillId="6" borderId="2" applyAlignment="1" pivotButton="0" quotePrefix="0" xfId="171">
      <alignment vertical="top"/>
    </xf>
    <xf numFmtId="49" fontId="0" fillId="7" borderId="2" applyAlignment="1" pivotButton="0" quotePrefix="0" xfId="172">
      <alignment vertical="top"/>
    </xf>
    <xf numFmtId="49" fontId="0" fillId="8" borderId="2" applyAlignment="1" pivotButton="0" quotePrefix="0" xfId="173">
      <alignment vertical="top"/>
    </xf>
    <xf numFmtId="49" fontId="0" fillId="9" borderId="2" applyAlignment="1" pivotButton="0" quotePrefix="0" xfId="174">
      <alignment vertical="top"/>
    </xf>
    <xf numFmtId="49" fontId="4" fillId="0" borderId="2" applyAlignment="1" pivotButton="0" quotePrefix="0" xfId="175">
      <alignment vertical="top"/>
    </xf>
    <xf numFmtId="49" fontId="4" fillId="3" borderId="2" applyAlignment="1" pivotButton="0" quotePrefix="0" xfId="176">
      <alignment vertical="top"/>
    </xf>
    <xf numFmtId="49" fontId="4" fillId="4" borderId="2" applyAlignment="1" pivotButton="0" quotePrefix="0" xfId="177">
      <alignment vertical="top"/>
    </xf>
    <xf numFmtId="49" fontId="4" fillId="5" borderId="2" applyAlignment="1" pivotButton="0" quotePrefix="0" xfId="178">
      <alignment vertical="top"/>
    </xf>
    <xf numFmtId="49" fontId="4" fillId="6" borderId="2" applyAlignment="1" pivotButton="0" quotePrefix="0" xfId="179">
      <alignment vertical="top"/>
    </xf>
    <xf numFmtId="49" fontId="4" fillId="7" borderId="2" applyAlignment="1" pivotButton="0" quotePrefix="0" xfId="180">
      <alignment vertical="top"/>
    </xf>
    <xf numFmtId="49" fontId="4" fillId="8" borderId="2" applyAlignment="1" pivotButton="0" quotePrefix="0" xfId="181">
      <alignment vertical="top"/>
    </xf>
    <xf numFmtId="49" fontId="4" fillId="9" borderId="2" applyAlignment="1" pivotButton="0" quotePrefix="0" xfId="182">
      <alignment vertical="top"/>
    </xf>
  </cellXfs>
  <cellStyles count="183">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body text_short nowrap" xfId="167" hidden="0"/>
    <cellStyle name="Export fill priority_a text_short nowrap" xfId="168" hidden="0"/>
    <cellStyle name="Export fill priority_b text_short nowrap" xfId="169" hidden="0"/>
    <cellStyle name="Export fill priority_c text_short nowrap" xfId="170" hidden="0"/>
    <cellStyle name="Export fill rank_a text_short nowrap" xfId="171" hidden="0"/>
    <cellStyle name="Export fill rank_b text_short nowrap" xfId="172" hidden="0"/>
    <cellStyle name="Export fill rank_c text_short nowrap" xfId="173" hidden="0"/>
    <cellStyle name="Export fill new_row text_short nowrap" xfId="174" hidden="0"/>
    <cellStyle name="Export body text_short nowrap bold" xfId="175" hidden="0"/>
    <cellStyle name="Export fill priority_a text_short nowrap bold" xfId="176" hidden="0"/>
    <cellStyle name="Export fill priority_b text_short nowrap bold" xfId="177" hidden="0"/>
    <cellStyle name="Export fill priority_c text_short nowrap bold" xfId="178" hidden="0"/>
    <cellStyle name="Export fill rank_a text_short nowrap bold" xfId="179" hidden="0"/>
    <cellStyle name="Export fill rank_b text_short nowrap bold" xfId="180" hidden="0"/>
    <cellStyle name="Export fill rank_c text_short nowrap bold" xfId="181" hidden="0"/>
    <cellStyle name="Export fill new_row text_short nowrap bold" xfId="18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rionsystems.example/careers/jobs/s1" TargetMode="External" Id="rId1"/><Relationship Type="http://schemas.openxmlformats.org/officeDocument/2006/relationships/hyperlink" Target="http://localhost:3009/accounts/orionsystems.example/archive?url=https%3A%2F%2Forionsystems.example%2Fcareers%2Fjobs%2Fs1" TargetMode="External" Id="rId2"/><Relationship Type="http://schemas.openxmlformats.org/officeDocument/2006/relationships/hyperlink" Target="https://orionsystems.example/careers/jobs/s2" TargetMode="External" Id="rId3"/><Relationship Type="http://schemas.openxmlformats.org/officeDocument/2006/relationships/hyperlink" Target="http://localhost:3009/accounts/orionsystems.example/archive?url=https%3A%2F%2Forionsystems.example%2Fcareers%2Fjobs%2Fs2" TargetMode="External" Id="rId4"/><Relationship Type="http://schemas.openxmlformats.org/officeDocument/2006/relationships/hyperlink" Target="https://orionsystems.example/careers/jobs/s5" TargetMode="External" Id="rId5"/><Relationship Type="http://schemas.openxmlformats.org/officeDocument/2006/relationships/hyperlink" Target="http://localhost:3009/accounts/orionsystems.example/archive?url=https%3A%2F%2Forionsystems.example%2Fcareers%2Fjobs%2Fs5" TargetMode="External" Id="rId6"/></Relationships>
</file>

<file path=xl/worksheets/sheet1.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18" customHeight="1">
      <c r="A1" s="3" t="inlineStr">
        <is>
          <t>Orion Systems platform job postings, last 12 months (first seen 29 October 2025 to 29 October 2026)</t>
        </is>
      </c>
    </row>
    <row r="3" ht="39" customHeight="1">
      <c r="A3" s="5" t="inlineStr">
        <is>
          <t>Every posting on the Orion Systems careers site first seen in the last 12 months that names a platform, pulled by 6th agents from the structured job posting feed, plus the live postings found on the careers site on 29 October 2026 that the feed did not yet hold. Open and closed postings are both included, and a posting with no date is kept. One row per posting; a reposted requisition appears once per posting.</t>
        </is>
      </c>
    </row>
    <row r="4" ht="39" customHeight="1">
      <c r="A4" s="5" t="inlineStr">
        <is>
          <t>Entity: Orion Systems means a Orion Systems position. A divested business or a subsidiary that is tagged for this account shows its own label; a label that starts with Orion Systems is counted with the Orion Systems positions below, any other label is shown for completeness and left out of the counts. A posting on another website shows that site's name followed by (entity to confirm); check which business it belongs to before quoting it.</t>
        </is>
      </c>
    </row>
    <row r="5" ht="39" customHeight="1">
      <c r="A5" s="5" t="inlineStr">
        <is>
          <t>Class: Build role means the platform is the job. Admin and owner role runs the platform, owns its data or governs it. Working tool means daily use. User role is everything else, including boilerplate and tool lists. Build and Admin and owner roles are confirmed by reading the whole posting; the other two come from the sentences that name the platform.</t>
        </is>
      </c>
    </row>
    <row r="6" ht="52" customHeight="1">
      <c r="A6" s="5" t="inlineStr">
        <is>
          <t>What the posting says (read) is filled for roles read in full that were confirmed as Build or Admin and owner. Platform sentences shows the exact sentences where each platform is named, grouped by platform. Full description is the complete posting. Requisition is the job ID the posting prints, blank when it prints none. Link opens the posting; Archived link opens our stored copy, because closed postings disappear from careers sites. New since last research marks postings first seen after the previous research. Ref and Source code tie each row to the source register.</t>
        </is>
      </c>
    </row>
    <row r="7" ht="26" customHeight="1">
      <c r="A7" s="5" t="inlineStr">
        <is>
          <t>Platforms are matched in the posting text. SAP is matched as the capitalized word SAP, S/4HANA, Ariba, SuccessFactors or Concur. Salesforce includes SFDC and the Salesforce clouds. Veeva includes Vault, PromoMats, eTMF and CTMS. A posting that names several platforms is counted once for each.</t>
        </is>
      </c>
    </row>
    <row r="10">
      <c r="A10" s="2" t="inlineStr">
        <is>
          <t>Platform (named anywhere), Orion Systems positions only</t>
        </is>
      </c>
      <c r="B10" s="2" t="inlineStr">
        <is>
          <t>Total</t>
        </is>
      </c>
      <c r="C10" s="2" t="inlineStr">
        <is>
          <t>Closed</t>
        </is>
      </c>
      <c r="D10" s="2" t="inlineStr">
        <is>
          <t>Open</t>
        </is>
      </c>
      <c r="E10" s="2" t="inlineStr">
        <is>
          <t>Build role</t>
        </is>
      </c>
      <c r="F10" s="2" t="inlineStr">
        <is>
          <t>Admin and owner role</t>
        </is>
      </c>
      <c r="G10" s="2" t="inlineStr">
        <is>
          <t>Working tool</t>
        </is>
      </c>
      <c r="H10" s="2" t="inlineStr">
        <is>
          <t>User role</t>
        </is>
      </c>
    </row>
    <row r="11">
      <c r="A11" s="55" t="inlineStr">
        <is>
          <t>Salesforce</t>
        </is>
      </c>
      <c r="B11" s="119">
        <f>COUNTIFS(Jobs!$C$2:$C$4,"*Salesforce*",Jobs!$J$2:$J$4,"Orion Systems*")</f>
        <v/>
      </c>
      <c r="C11" s="119">
        <f>COUNTIFS(Jobs!$C$2:$C$4,"*Salesforce*",Jobs!$J$2:$J$4,"Orion Systems*",Jobs!$E$2:$E$4,"Closed")</f>
        <v/>
      </c>
      <c r="D11" s="119">
        <f>COUNTIFS(Jobs!$C$2:$C$4,"*Salesforce*",Jobs!$J$2:$J$4,"Orion Systems*",Jobs!$E$2:$E$4,"Open")</f>
        <v/>
      </c>
      <c r="E11" s="119">
        <f>COUNTIFS(Jobs!$C$2:$C$4,"*Salesforce*",Jobs!$J$2:$J$4,"Orion Systems*",Jobs!$D$2:$D$4,"Build role")</f>
        <v/>
      </c>
      <c r="F11" s="119">
        <f>COUNTIFS(Jobs!$C$2:$C$4,"*Salesforce*",Jobs!$J$2:$J$4,"Orion Systems*",Jobs!$D$2:$D$4,"Admin and owner role")</f>
        <v/>
      </c>
      <c r="G11" s="119">
        <f>COUNTIFS(Jobs!$C$2:$C$4,"*Salesforce*",Jobs!$J$2:$J$4,"Orion Systems*",Jobs!$D$2:$D$4,"Working tool")</f>
        <v/>
      </c>
      <c r="H11" s="119">
        <f>COUNTIFS(Jobs!$C$2:$C$4,"*Salesforce*",Jobs!$J$2:$J$4,"Orion Systems*",Jobs!$D$2:$D$4,"User role")</f>
        <v/>
      </c>
    </row>
    <row r="12">
      <c r="A12" s="55" t="inlineStr">
        <is>
          <t>MuleSoft</t>
        </is>
      </c>
      <c r="B12" s="119">
        <f>COUNTIFS(Jobs!$C$2:$C$4,"*MuleSoft*",Jobs!$J$2:$J$4,"Orion Systems*")</f>
        <v/>
      </c>
      <c r="C12" s="119">
        <f>COUNTIFS(Jobs!$C$2:$C$4,"*MuleSoft*",Jobs!$J$2:$J$4,"Orion Systems*",Jobs!$E$2:$E$4,"Closed")</f>
        <v/>
      </c>
      <c r="D12" s="119">
        <f>COUNTIFS(Jobs!$C$2:$C$4,"*MuleSoft*",Jobs!$J$2:$J$4,"Orion Systems*",Jobs!$E$2:$E$4,"Open")</f>
        <v/>
      </c>
      <c r="E12" s="119">
        <f>COUNTIFS(Jobs!$C$2:$C$4,"*MuleSoft*",Jobs!$J$2:$J$4,"Orion Systems*",Jobs!$D$2:$D$4,"Build role")</f>
        <v/>
      </c>
      <c r="F12" s="119">
        <f>COUNTIFS(Jobs!$C$2:$C$4,"*MuleSoft*",Jobs!$J$2:$J$4,"Orion Systems*",Jobs!$D$2:$D$4,"Admin and owner role")</f>
        <v/>
      </c>
      <c r="G12" s="119">
        <f>COUNTIFS(Jobs!$C$2:$C$4,"*MuleSoft*",Jobs!$J$2:$J$4,"Orion Systems*",Jobs!$D$2:$D$4,"Working tool")</f>
        <v/>
      </c>
      <c r="H12" s="119">
        <f>COUNTIFS(Jobs!$C$2:$C$4,"*MuleSoft*",Jobs!$J$2:$J$4,"Orion Systems*",Jobs!$D$2:$D$4,"User role")</f>
        <v/>
      </c>
    </row>
    <row r="13">
      <c r="A13" s="55" t="inlineStr">
        <is>
          <t>ServiceNow</t>
        </is>
      </c>
      <c r="B13" s="119">
        <f>COUNTIFS(Jobs!$C$2:$C$4,"*ServiceNow*",Jobs!$J$2:$J$4,"Orion Systems*")</f>
        <v/>
      </c>
      <c r="C13" s="119">
        <f>COUNTIFS(Jobs!$C$2:$C$4,"*ServiceNow*",Jobs!$J$2:$J$4,"Orion Systems*",Jobs!$E$2:$E$4,"Closed")</f>
        <v/>
      </c>
      <c r="D13" s="119">
        <f>COUNTIFS(Jobs!$C$2:$C$4,"*ServiceNow*",Jobs!$J$2:$J$4,"Orion Systems*",Jobs!$E$2:$E$4,"Open")</f>
        <v/>
      </c>
      <c r="E13" s="119">
        <f>COUNTIFS(Jobs!$C$2:$C$4,"*ServiceNow*",Jobs!$J$2:$J$4,"Orion Systems*",Jobs!$D$2:$D$4,"Build role")</f>
        <v/>
      </c>
      <c r="F13" s="119">
        <f>COUNTIFS(Jobs!$C$2:$C$4,"*ServiceNow*",Jobs!$J$2:$J$4,"Orion Systems*",Jobs!$D$2:$D$4,"Admin and owner role")</f>
        <v/>
      </c>
      <c r="G13" s="119">
        <f>COUNTIFS(Jobs!$C$2:$C$4,"*ServiceNow*",Jobs!$J$2:$J$4,"Orion Systems*",Jobs!$D$2:$D$4,"Working tool")</f>
        <v/>
      </c>
      <c r="H13" s="119">
        <f>COUNTIFS(Jobs!$C$2:$C$4,"*ServiceNow*",Jobs!$J$2:$J$4,"Orion Systems*",Jobs!$D$2:$D$4,"User role")</f>
        <v/>
      </c>
    </row>
    <row r="14">
      <c r="A14" s="55" t="inlineStr">
        <is>
          <t>SAP</t>
        </is>
      </c>
      <c r="B14" s="119">
        <f>COUNTIFS(Jobs!$C$2:$C$4,"*SAP*",Jobs!$J$2:$J$4,"Orion Systems*")</f>
        <v/>
      </c>
      <c r="C14" s="119">
        <f>COUNTIFS(Jobs!$C$2:$C$4,"*SAP*",Jobs!$J$2:$J$4,"Orion Systems*",Jobs!$E$2:$E$4,"Closed")</f>
        <v/>
      </c>
      <c r="D14" s="119">
        <f>COUNTIFS(Jobs!$C$2:$C$4,"*SAP*",Jobs!$J$2:$J$4,"Orion Systems*",Jobs!$E$2:$E$4,"Open")</f>
        <v/>
      </c>
      <c r="E14" s="119">
        <f>COUNTIFS(Jobs!$C$2:$C$4,"*SAP*",Jobs!$J$2:$J$4,"Orion Systems*",Jobs!$D$2:$D$4,"Build role")</f>
        <v/>
      </c>
      <c r="F14" s="119">
        <f>COUNTIFS(Jobs!$C$2:$C$4,"*SAP*",Jobs!$J$2:$J$4,"Orion Systems*",Jobs!$D$2:$D$4,"Admin and owner role")</f>
        <v/>
      </c>
      <c r="G14" s="119">
        <f>COUNTIFS(Jobs!$C$2:$C$4,"*SAP*",Jobs!$J$2:$J$4,"Orion Systems*",Jobs!$D$2:$D$4,"Working tool")</f>
        <v/>
      </c>
      <c r="H14" s="119">
        <f>COUNTIFS(Jobs!$C$2:$C$4,"*SAP*",Jobs!$J$2:$J$4,"Orion Systems*",Jobs!$D$2:$D$4,"User role")</f>
        <v/>
      </c>
    </row>
    <row r="15">
      <c r="A15" s="55" t="inlineStr">
        <is>
          <t>Tableau</t>
        </is>
      </c>
      <c r="B15" s="119">
        <f>COUNTIFS(Jobs!$C$2:$C$4,"*Tableau*",Jobs!$J$2:$J$4,"Orion Systems*")</f>
        <v/>
      </c>
      <c r="C15" s="119">
        <f>COUNTIFS(Jobs!$C$2:$C$4,"*Tableau*",Jobs!$J$2:$J$4,"Orion Systems*",Jobs!$E$2:$E$4,"Closed")</f>
        <v/>
      </c>
      <c r="D15" s="119">
        <f>COUNTIFS(Jobs!$C$2:$C$4,"*Tableau*",Jobs!$J$2:$J$4,"Orion Systems*",Jobs!$E$2:$E$4,"Open")</f>
        <v/>
      </c>
      <c r="E15" s="119">
        <f>COUNTIFS(Jobs!$C$2:$C$4,"*Tableau*",Jobs!$J$2:$J$4,"Orion Systems*",Jobs!$D$2:$D$4,"Build role")</f>
        <v/>
      </c>
      <c r="F15" s="119">
        <f>COUNTIFS(Jobs!$C$2:$C$4,"*Tableau*",Jobs!$J$2:$J$4,"Orion Systems*",Jobs!$D$2:$D$4,"Admin and owner role")</f>
        <v/>
      </c>
      <c r="G15" s="119">
        <f>COUNTIFS(Jobs!$C$2:$C$4,"*Tableau*",Jobs!$J$2:$J$4,"Orion Systems*",Jobs!$D$2:$D$4,"Working tool")</f>
        <v/>
      </c>
      <c r="H15" s="119">
        <f>COUNTIFS(Jobs!$C$2:$C$4,"*Tableau*",Jobs!$J$2:$J$4,"Orion Systems*",Jobs!$D$2:$D$4,"User role")</f>
        <v/>
      </c>
    </row>
    <row r="16">
      <c r="A16" s="55" t="inlineStr">
        <is>
          <t>Veeva</t>
        </is>
      </c>
      <c r="B16" s="119">
        <f>COUNTIFS(Jobs!$C$2:$C$4,"*Veeva*",Jobs!$J$2:$J$4,"Orion Systems*")</f>
        <v/>
      </c>
      <c r="C16" s="119">
        <f>COUNTIFS(Jobs!$C$2:$C$4,"*Veeva*",Jobs!$J$2:$J$4,"Orion Systems*",Jobs!$E$2:$E$4,"Closed")</f>
        <v/>
      </c>
      <c r="D16" s="119">
        <f>COUNTIFS(Jobs!$C$2:$C$4,"*Veeva*",Jobs!$J$2:$J$4,"Orion Systems*",Jobs!$E$2:$E$4,"Open")</f>
        <v/>
      </c>
      <c r="E16" s="119">
        <f>COUNTIFS(Jobs!$C$2:$C$4,"*Veeva*",Jobs!$J$2:$J$4,"Orion Systems*",Jobs!$D$2:$D$4,"Build role")</f>
        <v/>
      </c>
      <c r="F16" s="119">
        <f>COUNTIFS(Jobs!$C$2:$C$4,"*Veeva*",Jobs!$J$2:$J$4,"Orion Systems*",Jobs!$D$2:$D$4,"Admin and owner role")</f>
        <v/>
      </c>
      <c r="G16" s="119">
        <f>COUNTIFS(Jobs!$C$2:$C$4,"*Veeva*",Jobs!$J$2:$J$4,"Orion Systems*",Jobs!$D$2:$D$4,"Working tool")</f>
        <v/>
      </c>
      <c r="H16" s="119">
        <f>COUNTIFS(Jobs!$C$2:$C$4,"*Veeva*",Jobs!$J$2:$J$4,"Orion Systems*",Jobs!$D$2:$D$4,"User role")</f>
        <v/>
      </c>
    </row>
    <row r="17">
      <c r="A17" s="55" t="inlineStr">
        <is>
          <t>Workday</t>
        </is>
      </c>
      <c r="B17" s="119">
        <f>COUNTIFS(Jobs!$C$2:$C$4,"*Workday*",Jobs!$J$2:$J$4,"Orion Systems*")</f>
        <v/>
      </c>
      <c r="C17" s="119">
        <f>COUNTIFS(Jobs!$C$2:$C$4,"*Workday*",Jobs!$J$2:$J$4,"Orion Systems*",Jobs!$E$2:$E$4,"Closed")</f>
        <v/>
      </c>
      <c r="D17" s="119">
        <f>COUNTIFS(Jobs!$C$2:$C$4,"*Workday*",Jobs!$J$2:$J$4,"Orion Systems*",Jobs!$E$2:$E$4,"Open")</f>
        <v/>
      </c>
      <c r="E17" s="119">
        <f>COUNTIFS(Jobs!$C$2:$C$4,"*Workday*",Jobs!$J$2:$J$4,"Orion Systems*",Jobs!$D$2:$D$4,"Build role")</f>
        <v/>
      </c>
      <c r="F17" s="119">
        <f>COUNTIFS(Jobs!$C$2:$C$4,"*Workday*",Jobs!$J$2:$J$4,"Orion Systems*",Jobs!$D$2:$D$4,"Admin and owner role")</f>
        <v/>
      </c>
      <c r="G17" s="119">
        <f>COUNTIFS(Jobs!$C$2:$C$4,"*Workday*",Jobs!$J$2:$J$4,"Orion Systems*",Jobs!$D$2:$D$4,"Working tool")</f>
        <v/>
      </c>
      <c r="H17" s="119">
        <f>COUNTIFS(Jobs!$C$2:$C$4,"*Workday*",Jobs!$J$2:$J$4,"Orion Systems*",Jobs!$D$2:$D$4,"User role")</f>
        <v/>
      </c>
    </row>
    <row r="19">
      <c r="A19" s="55" t="inlineStr">
        <is>
          <t>Rows on the Jobs sheet (all entities)</t>
        </is>
      </c>
      <c r="B19" s="119">
        <f>COUNTA(Jobs!$B$2:$B$4)</f>
        <v/>
      </c>
    </row>
    <row r="20">
      <c r="A20" s="55" t="inlineStr">
        <is>
          <t>Rows that are Orion Systems positions</t>
        </is>
      </c>
      <c r="B20" s="119">
        <f>COUNTIF(Jobs!$J$2:$J$4,"Orion Systems*")</f>
        <v/>
      </c>
    </row>
    <row r="21">
      <c r="A21" s="55" t="inlineStr">
        <is>
          <t>Rows that are other entities (a divested business or another website)</t>
        </is>
      </c>
      <c r="B21" s="119">
        <f>COUNTA(Jobs!$B$2:$B$4)-COUNTIF(Jobs!$J$2:$J$4,"Orion Systems*")</f>
        <v/>
      </c>
    </row>
  </sheetData>
  <mergeCells count="5">
    <mergeCell ref="A4:H4"/>
    <mergeCell ref="A3:H3"/>
    <mergeCell ref="A7:H7"/>
    <mergeCell ref="A5:H5"/>
    <mergeCell ref="A6:H6"/>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R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8" customWidth="1" min="3" max="3"/>
    <col width="20" customWidth="1" min="4" max="4"/>
    <col width="9" customWidth="1" min="5" max="5"/>
    <col width="11" customWidth="1" min="6" max="6"/>
    <col width="11" customWidth="1" min="7" max="7"/>
    <col width="26" customWidth="1" min="8" max="8"/>
    <col width="11" customWidth="1" min="9" max="9"/>
    <col width="26" customWidth="1" min="10" max="10"/>
    <col width="50" customWidth="1" min="11" max="11"/>
    <col width="70" customWidth="1" min="12" max="12"/>
    <col width="60" customWidth="1" min="13" max="13"/>
    <col width="13" customWidth="1" min="14" max="14"/>
    <col width="16" customWidth="1" min="15" max="15"/>
    <col width="14" customWidth="1" min="16" max="16"/>
    <col width="9" customWidth="1" min="17" max="17"/>
    <col width="10" customWidth="1" min="18" max="18"/>
  </cols>
  <sheetData>
    <row r="1">
      <c r="A1" s="1" t="inlineStr">
        <is>
          <t>Requisition</t>
        </is>
      </c>
      <c r="B1" s="1" t="inlineStr">
        <is>
          <t>Title</t>
        </is>
      </c>
      <c r="C1" s="1" t="inlineStr">
        <is>
          <t>Platforms named</t>
        </is>
      </c>
      <c r="D1" s="1" t="inlineStr">
        <is>
          <t>Class</t>
        </is>
      </c>
      <c r="E1" s="1" t="inlineStr">
        <is>
          <t>Status</t>
        </is>
      </c>
      <c r="F1" s="1" t="inlineStr">
        <is>
          <t>First seen</t>
        </is>
      </c>
      <c r="G1" s="1" t="inlineStr">
        <is>
          <t>Last seen</t>
        </is>
      </c>
      <c r="H1" s="1" t="inlineStr">
        <is>
          <t>Location</t>
        </is>
      </c>
      <c r="I1" s="1" t="inlineStr">
        <is>
          <t>Seniority</t>
        </is>
      </c>
      <c r="J1" s="1" t="inlineStr">
        <is>
          <t>Entity</t>
        </is>
      </c>
      <c r="K1" s="1" t="inlineStr">
        <is>
          <t>What the posting says (read)</t>
        </is>
      </c>
      <c r="L1" s="1" t="inlineStr">
        <is>
          <t>Platform sentences</t>
        </is>
      </c>
      <c r="M1" s="1" t="inlineStr">
        <is>
          <t>Full description</t>
        </is>
      </c>
      <c r="N1" s="1" t="inlineStr">
        <is>
          <t>Link</t>
        </is>
      </c>
      <c r="O1" s="1" t="inlineStr">
        <is>
          <t>Archived link</t>
        </is>
      </c>
      <c r="P1" s="1" t="inlineStr">
        <is>
          <t>New since last research</t>
        </is>
      </c>
      <c r="Q1" s="1" t="inlineStr">
        <is>
          <t>Ref</t>
        </is>
      </c>
      <c r="R1" s="1" t="inlineStr">
        <is>
          <t>Source code</t>
        </is>
      </c>
    </row>
    <row r="2">
      <c r="A2" s="39" t="inlineStr"/>
      <c r="B2" s="55" t="inlineStr">
        <is>
          <t>Salesforce Developer</t>
        </is>
      </c>
      <c r="C2" s="39" t="inlineStr">
        <is>
          <t>Salesforce, MuleSoft</t>
        </is>
      </c>
      <c r="D2" s="39" t="inlineStr">
        <is>
          <t>Build role</t>
        </is>
      </c>
      <c r="E2" s="39" t="inlineStr">
        <is>
          <t>Open</t>
        </is>
      </c>
      <c r="F2" s="39" t="inlineStr">
        <is>
          <t>2026-08-01</t>
        </is>
      </c>
      <c r="G2" s="39" t="inlineStr">
        <is>
          <t>2026-10-28</t>
        </is>
      </c>
      <c r="H2" s="55" t="inlineStr">
        <is>
          <t>Pune, India</t>
        </is>
      </c>
      <c r="I2" s="39" t="inlineStr">
        <is>
          <t>mid_senior</t>
        </is>
      </c>
      <c r="J2" s="167" t="inlineStr">
        <is>
          <t>Orion Systems</t>
        </is>
      </c>
      <c r="K2" s="71" t="inlineStr">
        <is>
          <t>Salesforce Developer.</t>
        </is>
      </c>
      <c r="L2" s="71" t="inlineStr">
        <is>
          <t>Salesforce: Salesforce Developer. | You will work on Salesforce Apex triggers, Lightning components and MuleSoft integrations. || MuleSoft: You will work on Salesforce Apex triggers, Lightning components and MuleSoft integrations.</t>
        </is>
      </c>
      <c r="M2" s="71" t="inlineStr">
        <is>
          <t>Salesforce Developer. You will work on Salesforce Apex triggers, Lightning components and MuleSoft integrations. The team works with the business on delivery, testing and support across the platform, and the role reports to the head of engineering. You will design, build, test and run production systems, write clear documentation and mentor colleagues across the group.</t>
        </is>
      </c>
      <c r="N2" s="151" t="inlineStr">
        <is>
          <t>Open posting</t>
        </is>
      </c>
      <c r="O2" s="151" t="inlineStr">
        <is>
          <t>Open archived copy</t>
        </is>
      </c>
      <c r="P2" s="39" t="inlineStr"/>
      <c r="Q2" s="7" t="inlineStr">
        <is>
          <t>J-0002</t>
        </is>
      </c>
      <c r="R2" s="23" t="inlineStr">
        <is>
          <t>S-0005</t>
        </is>
      </c>
    </row>
    <row r="3">
      <c r="A3" s="39" t="inlineStr"/>
      <c r="B3" s="55" t="inlineStr">
        <is>
          <t>ServiceNow Platform Administrator</t>
        </is>
      </c>
      <c r="C3" s="39" t="inlineStr">
        <is>
          <t>ServiceNow</t>
        </is>
      </c>
      <c r="D3" s="39" t="inlineStr">
        <is>
          <t>Build role</t>
        </is>
      </c>
      <c r="E3" s="39" t="inlineStr">
        <is>
          <t>Open</t>
        </is>
      </c>
      <c r="F3" s="39" t="inlineStr">
        <is>
          <t>2026-07-15</t>
        </is>
      </c>
      <c r="G3" s="39" t="inlineStr">
        <is>
          <t>2026-10-28</t>
        </is>
      </c>
      <c r="H3" s="55" t="inlineStr">
        <is>
          <t>Austin, TX</t>
        </is>
      </c>
      <c r="I3" s="39" t="inlineStr">
        <is>
          <t>mid_senior</t>
        </is>
      </c>
      <c r="J3" s="167" t="inlineStr">
        <is>
          <t>Orion Systems</t>
        </is>
      </c>
      <c r="K3" s="71" t="inlineStr">
        <is>
          <t>ServiceNow Platform Administrator.</t>
        </is>
      </c>
      <c r="L3" s="71" t="inlineStr">
        <is>
          <t>ServiceNow: ServiceNow Platform Administrator. | You will work on ServiceNow ITSM administration, flows and catalog items.</t>
        </is>
      </c>
      <c r="M3" s="71" t="inlineStr">
        <is>
          <t>ServiceNow Platform Administrator. You will work on ServiceNow ITSM administration, flows and catalog items. The team works with the business on delivery, testing and support across the platform, and the role reports to the head of engineering. You will design, build, test and run production systems, write clear documentation and mentor colleagues across the group.</t>
        </is>
      </c>
      <c r="N3" s="151" t="inlineStr">
        <is>
          <t>Open posting</t>
        </is>
      </c>
      <c r="O3" s="151" t="inlineStr">
        <is>
          <t>Open archived copy</t>
        </is>
      </c>
      <c r="P3" s="39" t="inlineStr"/>
      <c r="Q3" s="7" t="inlineStr">
        <is>
          <t>J-0003</t>
        </is>
      </c>
      <c r="R3" s="23" t="inlineStr">
        <is>
          <t>S-0006</t>
        </is>
      </c>
    </row>
    <row r="4">
      <c r="A4" s="39" t="inlineStr"/>
      <c r="B4" s="55" t="inlineStr">
        <is>
          <t>Data Platform Engineer</t>
        </is>
      </c>
      <c r="C4" s="39" t="inlineStr">
        <is>
          <t>Airflow, dbt, Snowflake</t>
        </is>
      </c>
      <c r="D4" s="39" t="inlineStr">
        <is>
          <t>Build role</t>
        </is>
      </c>
      <c r="E4" s="39" t="inlineStr">
        <is>
          <t>Closed</t>
        </is>
      </c>
      <c r="F4" s="39" t="inlineStr">
        <is>
          <t>2026-02-01</t>
        </is>
      </c>
      <c r="G4" s="39" t="inlineStr">
        <is>
          <t>2026-10-28</t>
        </is>
      </c>
      <c r="H4" s="55" t="inlineStr">
        <is>
          <t>Remote, US</t>
        </is>
      </c>
      <c r="I4" s="39" t="inlineStr">
        <is>
          <t>mid_senior</t>
        </is>
      </c>
      <c r="J4" s="167" t="inlineStr">
        <is>
          <t>Orion Systems</t>
        </is>
      </c>
      <c r="K4" s="71" t="inlineStr">
        <is>
          <t>Data Platform Engineer.</t>
        </is>
      </c>
      <c r="L4" s="71" t="inlineStr">
        <is>
          <t>Airflow: You will work on Snowflake, dbt and Airflow pipelines for the analytics platform. || dbt: You will work on Snowflake, dbt and Airflow pipelines for the analytics platform. || Snowflake: You will work on Snowflake, dbt and Airflow pipelines for the analytics platform.</t>
        </is>
      </c>
      <c r="M4" s="71" t="inlineStr">
        <is>
          <t>Data Platform Engineer. You will work on Snowflake, dbt and Airflow pipelines for the analytics platform. The team works with the business on delivery, testing and support across the platform, and the role reports to the head of engineering. You will design, build, test and run production systems, write clear documentation and mentor colleagues across the group.</t>
        </is>
      </c>
      <c r="N4" s="151" t="inlineStr">
        <is>
          <t>Open posting</t>
        </is>
      </c>
      <c r="O4" s="151" t="inlineStr">
        <is>
          <t>Open archived copy</t>
        </is>
      </c>
      <c r="P4" s="39" t="inlineStr"/>
      <c r="Q4" s="7" t="inlineStr">
        <is>
          <t>J-0005</t>
        </is>
      </c>
      <c r="R4" s="23" t="inlineStr">
        <is>
          <t>S-0004</t>
        </is>
      </c>
    </row>
  </sheetData>
  <autoFilter ref="A1:R4"/>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C5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s>
  <sheetData>
    <row r="1">
      <c r="A1" s="1" t="inlineStr">
        <is>
          <t>Count</t>
        </is>
      </c>
      <c r="B1" s="1" t="inlineStr">
        <is>
          <t>Value</t>
        </is>
      </c>
      <c r="C1" s="1" t="inlineStr">
        <is>
          <t>Base</t>
        </is>
      </c>
    </row>
    <row r="2">
      <c r="A2" s="55" t="inlineStr">
        <is>
          <t>Postings in this file</t>
        </is>
      </c>
      <c r="B2" s="119">
        <f>COUNTA('Jobs'!Q2:Q4)</f>
        <v/>
      </c>
      <c r="C2" s="55" t="inlineStr">
        <is>
          <t>postings listed on the Jobs sheet</t>
        </is>
      </c>
    </row>
    <row r="3">
      <c r="A3" s="55" t="inlineStr">
        <is>
          <t>Postings in this file with status Open</t>
        </is>
      </c>
      <c r="B3" s="119">
        <f>COUNTIF('Jobs'!E2:E4,"Open")</f>
        <v/>
      </c>
      <c r="C3" s="55" t="inlineStr">
        <is>
          <t>postings listed on the Jobs sheet</t>
        </is>
      </c>
    </row>
    <row r="4">
      <c r="A4" s="55" t="inlineStr">
        <is>
          <t>Postings in this file with status Closed</t>
        </is>
      </c>
      <c r="B4" s="119">
        <f>COUNTIF('Jobs'!E2:E4,"Closed")</f>
        <v/>
      </c>
      <c r="C4" s="55" t="inlineStr">
        <is>
          <t>postings listed on the Jobs sheet</t>
        </is>
      </c>
    </row>
    <row r="5">
      <c r="A5" s="55" t="inlineStr">
        <is>
          <t>Postings not listed (no posting link)</t>
        </is>
      </c>
      <c r="B5" s="119" t="n">
        <v>2</v>
      </c>
      <c r="C5" s="55" t="inlineStr">
        <is>
          <t>postings recorded for this run</t>
        </is>
      </c>
    </row>
    <row r="6">
      <c r="A6" s="55" t="inlineStr">
        <is>
          <t>Records pulled</t>
        </is>
      </c>
      <c r="B6" s="119" t="n">
        <v>15</v>
      </c>
      <c r="C6" s="55" t="inlineStr">
        <is>
          <t>raw records returned before dedupe</t>
        </is>
      </c>
    </row>
    <row r="7">
      <c r="A7" s="55" t="inlineStr">
        <is>
          <t>Distinct postings</t>
        </is>
      </c>
      <c r="B7" s="119" t="n">
        <v>5</v>
      </c>
      <c r="C7" s="55" t="inlineStr">
        <is>
          <t>records pulled, after dedupe</t>
        </is>
      </c>
    </row>
    <row r="8">
      <c r="A8" s="55" t="inlineStr">
        <is>
          <t>Postings analysed</t>
        </is>
      </c>
      <c r="B8" s="119" t="n">
        <v>5</v>
      </c>
      <c r="C8" s="55" t="inlineStr">
        <is>
          <t>distinct postings in the 12 month window or undated</t>
        </is>
      </c>
    </row>
    <row r="9">
      <c r="A9" s="55" t="inlineStr">
        <is>
          <t>Undated postings analysed</t>
        </is>
      </c>
      <c r="B9" s="119" t="n">
        <v>0</v>
      </c>
      <c r="C9" s="55" t="inlineStr">
        <is>
          <t>postings analysed</t>
        </is>
      </c>
    </row>
    <row r="10">
      <c r="A10" s="55" t="inlineStr">
        <is>
          <t>Postings outside the window</t>
        </is>
      </c>
      <c r="B10" s="119" t="n">
        <v>0</v>
      </c>
      <c r="C10" s="55" t="inlineStr">
        <is>
          <t>distinct postings</t>
        </is>
      </c>
    </row>
    <row r="11">
      <c r="A11" s="55" t="inlineStr">
        <is>
          <t>Postings naming a platform</t>
        </is>
      </c>
      <c r="B11" s="119" t="n">
        <v>5</v>
      </c>
      <c r="C11" s="55" t="inlineStr">
        <is>
          <t>postings analysed</t>
        </is>
      </c>
    </row>
    <row r="12">
      <c r="A12" s="55" t="inlineStr">
        <is>
          <t>Matched postings read</t>
        </is>
      </c>
      <c r="B12" s="119" t="n">
        <v>5</v>
      </c>
      <c r="C12" s="55" t="inlineStr">
        <is>
          <t>postings naming a platform</t>
        </is>
      </c>
    </row>
    <row r="13">
      <c r="A13" s="55" t="inlineStr">
        <is>
          <t>Read postings open</t>
        </is>
      </c>
      <c r="B13" s="119" t="n">
        <v>3</v>
      </c>
      <c r="C13" s="55" t="inlineStr">
        <is>
          <t>matched postings read</t>
        </is>
      </c>
    </row>
    <row r="14">
      <c r="A14" s="55" t="inlineStr">
        <is>
          <t>Read postings closed</t>
        </is>
      </c>
      <c r="B14" s="119" t="n">
        <v>2</v>
      </c>
      <c r="C14" s="55" t="inlineStr">
        <is>
          <t>matched postings read</t>
        </is>
      </c>
    </row>
    <row r="15">
      <c r="A15" s="55" t="inlineStr">
        <is>
          <t>Read postings classed admin owner</t>
        </is>
      </c>
      <c r="B15" s="119" t="n">
        <v>0</v>
      </c>
      <c r="C15" s="55" t="inlineStr">
        <is>
          <t>matched postings read</t>
        </is>
      </c>
    </row>
    <row r="16">
      <c r="A16" s="55" t="inlineStr">
        <is>
          <t>Read postings classed build</t>
        </is>
      </c>
      <c r="B16" s="119" t="n">
        <v>3</v>
      </c>
      <c r="C16" s="55" t="inlineStr">
        <is>
          <t>matched postings read</t>
        </is>
      </c>
    </row>
    <row r="17">
      <c r="A17" s="55" t="inlineStr">
        <is>
          <t>Read postings classed unclassified</t>
        </is>
      </c>
      <c r="B17" s="119" t="n">
        <v>0</v>
      </c>
      <c r="C17" s="55" t="inlineStr">
        <is>
          <t>matched postings read</t>
        </is>
      </c>
    </row>
    <row r="18">
      <c r="A18" s="55" t="inlineStr">
        <is>
          <t>Read postings classed user</t>
        </is>
      </c>
      <c r="B18" s="119" t="n">
        <v>2</v>
      </c>
      <c r="C18" s="55" t="inlineStr">
        <is>
          <t>matched postings read</t>
        </is>
      </c>
    </row>
    <row r="19">
      <c r="A19" s="55" t="inlineStr">
        <is>
          <t>Read postings classed working tool</t>
        </is>
      </c>
      <c r="B19" s="119" t="n">
        <v>0</v>
      </c>
      <c r="C19" s="55" t="inlineStr">
        <is>
          <t>matched postings read</t>
        </is>
      </c>
    </row>
    <row r="21">
      <c r="A21" s="4" t="inlineStr">
        <is>
          <t>5 postings read of 5 matched (3 open and 2 closed of the 5 read)</t>
        </is>
      </c>
    </row>
    <row r="22">
      <c r="A22" s="4" t="inlineStr">
        <is>
          <t>AWS: 0 postings read of 0 matched (0 open and 0 closed of the 0 read)</t>
        </is>
      </c>
    </row>
    <row r="23">
      <c r="A23" s="4" t="inlineStr">
        <is>
          <t>Airflow: 1 postings read of 1 matched (0 open and 1 closed of the 1 read)</t>
        </is>
      </c>
    </row>
    <row r="24">
      <c r="A24" s="4" t="inlineStr">
        <is>
          <t>Apache Spark: 0 postings read of 0 matched (0 open and 0 closed of the 0 read)</t>
        </is>
      </c>
    </row>
    <row r="25">
      <c r="A25" s="4" t="inlineStr">
        <is>
          <t>Azure: 0 postings read of 0 matched (0 open and 0 closed of the 0 read)</t>
        </is>
      </c>
    </row>
    <row r="26">
      <c r="A26" s="4" t="inlineStr">
        <is>
          <t>Azure Data Factory: 0 postings read of 0 matched (0 open and 0 closed of the 0 read)</t>
        </is>
      </c>
    </row>
    <row r="27">
      <c r="A27" s="4" t="inlineStr">
        <is>
          <t>Azure OpenAI: 0 postings read of 0 matched (0 open and 0 closed of the 0 read)</t>
        </is>
      </c>
    </row>
    <row r="28">
      <c r="A28" s="4" t="inlineStr">
        <is>
          <t>Azure Synapse: 0 postings read of 0 matched (0 open and 0 closed of the 0 read)</t>
        </is>
      </c>
    </row>
    <row r="29">
      <c r="A29" s="4" t="inlineStr">
        <is>
          <t>BigQuery: 0 postings read of 0 matched (0 open and 0 closed of the 0 read)</t>
        </is>
      </c>
    </row>
    <row r="30">
      <c r="A30" s="4" t="inlineStr">
        <is>
          <t>Generative AI: 0 postings read of 0 matched (0 open and 0 closed of the 0 read)</t>
        </is>
      </c>
    </row>
    <row r="31">
      <c r="A31" s="4" t="inlineStr">
        <is>
          <t>Google Cloud: 0 postings read of 0 matched (0 open and 0 closed of the 0 read)</t>
        </is>
      </c>
    </row>
    <row r="32">
      <c r="A32" s="4" t="inlineStr">
        <is>
          <t>Informatica: 0 postings read of 0 matched (0 open and 0 closed of the 0 read)</t>
        </is>
      </c>
    </row>
    <row r="33">
      <c r="A33" s="4" t="inlineStr">
        <is>
          <t>Kafka: 0 postings read of 0 matched (0 open and 0 closed of the 0 read)</t>
        </is>
      </c>
    </row>
    <row r="34">
      <c r="A34" s="4" t="inlineStr">
        <is>
          <t>LangChain: 0 postings read of 0 matched (0 open and 0 closed of the 0 read)</t>
        </is>
      </c>
    </row>
    <row r="35">
      <c r="A35" s="4" t="inlineStr">
        <is>
          <t>Looker: 0 postings read of 0 matched (0 open and 0 closed of the 0 read)</t>
        </is>
      </c>
    </row>
    <row r="36">
      <c r="A36" s="4" t="inlineStr">
        <is>
          <t>MLflow: 0 postings read of 0 matched (0 open and 0 closed of the 0 read)</t>
        </is>
      </c>
    </row>
    <row r="37">
      <c r="A37" s="4" t="inlineStr">
        <is>
          <t>MicroStrategy: 0 postings read of 0 matched (0 open and 0 closed of the 0 read)</t>
        </is>
      </c>
    </row>
    <row r="38">
      <c r="A38" s="4" t="inlineStr">
        <is>
          <t>Microsoft Fabric: 0 postings read of 0 matched (0 open and 0 closed of the 0 read)</t>
        </is>
      </c>
    </row>
    <row r="39">
      <c r="A39" s="4" t="inlineStr">
        <is>
          <t>MuleSoft: 1 postings read of 1 matched (1 open and 0 closed of the 1 read)</t>
        </is>
      </c>
    </row>
    <row r="40">
      <c r="A40" s="4" t="inlineStr">
        <is>
          <t>OpenAI: 0 postings read of 0 matched (0 open and 0 closed of the 0 read)</t>
        </is>
      </c>
    </row>
    <row r="41">
      <c r="A41" s="4" t="inlineStr">
        <is>
          <t>Palantir: 0 postings read of 0 matched (0 open and 0 closed of the 0 read)</t>
        </is>
      </c>
    </row>
    <row r="42">
      <c r="A42" s="4" t="inlineStr">
        <is>
          <t>Power BI: 0 postings read of 0 matched (0 open and 0 closed of the 0 read)</t>
        </is>
      </c>
    </row>
    <row r="43">
      <c r="A43" s="4" t="inlineStr">
        <is>
          <t>Qlik: 0 postings read of 0 matched (0 open and 0 closed of the 0 read)</t>
        </is>
      </c>
    </row>
    <row r="44">
      <c r="A44" s="4" t="inlineStr">
        <is>
          <t>Redshift: 0 postings read of 0 matched (0 open and 0 closed of the 0 read)</t>
        </is>
      </c>
    </row>
    <row r="45">
      <c r="A45" s="4" t="inlineStr">
        <is>
          <t>SAP: 1 postings read of 1 matched (0 open and 1 closed of the 1 read)</t>
        </is>
      </c>
    </row>
    <row r="46">
      <c r="A46" s="4" t="inlineStr">
        <is>
          <t>SageMaker: 0 postings read of 0 matched (0 open and 0 closed of the 0 read)</t>
        </is>
      </c>
    </row>
    <row r="47">
      <c r="A47" s="4" t="inlineStr">
        <is>
          <t>Salesforce: 1 postings read of 1 matched (1 open and 0 closed of the 1 read)</t>
        </is>
      </c>
    </row>
    <row r="48">
      <c r="A48" s="4" t="inlineStr">
        <is>
          <t>ServiceNow: 1 postings read of 1 matched (1 open and 0 closed of the 1 read)</t>
        </is>
      </c>
    </row>
    <row r="49">
      <c r="A49" s="4" t="inlineStr">
        <is>
          <t>Snowflake: 2 postings read of 2 matched (1 open and 1 closed of the 2 read)</t>
        </is>
      </c>
    </row>
    <row r="50">
      <c r="A50" s="4" t="inlineStr">
        <is>
          <t>Tableau: 1 postings read of 1 matched (1 open and 0 closed of the 1 read)</t>
        </is>
      </c>
    </row>
    <row r="51">
      <c r="A51" s="4" t="inlineStr">
        <is>
          <t>Veeva: 0 postings read of 0 matched (0 open and 0 closed of the 0 read)</t>
        </is>
      </c>
    </row>
    <row r="52">
      <c r="A52" s="4" t="inlineStr">
        <is>
          <t>Vertex AI: 0 postings read of 0 matched (0 open and 0 closed of the 0 read)</t>
        </is>
      </c>
    </row>
    <row r="53">
      <c r="A53" s="4" t="inlineStr">
        <is>
          <t>Workday: 0 postings read of 0 matched (0 open and 0 closed of the 0 read)</t>
        </is>
      </c>
    </row>
    <row r="54">
      <c r="A54" s="4" t="inlineStr">
        <is>
          <t>dbt: 1 postings read of 1 matched (0 open and 1 closed of the 1 read)</t>
        </is>
      </c>
    </row>
  </sheetData>
  <autoFilter ref="A1:C19"/>
  <pageMargins left="0.75" right="0.75" top="1" bottom="1"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2" customWidth="1" min="3" max="3"/>
    <col width="12" customWidth="1" min="4" max="4"/>
    <col width="80" customWidth="1" min="5" max="5"/>
  </cols>
  <sheetData>
    <row r="1">
      <c r="A1" s="1" t="inlineStr">
        <is>
          <t>Ref</t>
        </is>
      </c>
      <c r="B1" s="1" t="inlineStr">
        <is>
          <t>Column</t>
        </is>
      </c>
      <c r="C1" s="1" t="inlineStr">
        <is>
          <t>Part</t>
        </is>
      </c>
      <c r="D1" s="1" t="inlineStr">
        <is>
          <t>Of</t>
        </is>
      </c>
      <c r="E1" s="1" t="inlineStr">
        <is>
          <t>Text</t>
        </is>
      </c>
    </row>
  </sheetData>
  <autoFilter ref="A1:E1"/>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Orion Systems Job Postings</dc:title>
  <dc:creator>6th agents</dc:creator>
  <cp:lastModifiedBy>6th agents</cp:lastModifiedBy>
  <dcterms:created xsi:type="dcterms:W3CDTF">2026-10-29T00:00:00Z</dcterms:created>
  <dcterms:modified xsi:type="dcterms:W3CDTF">2026-10-29T00:00:00Z</dcterms:modified>
</cp:coreProperties>
</file>