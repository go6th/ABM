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tform Ranking" sheetId="1" state="visible" r:id="rId1"/>
    <sheet xmlns:r="http://schemas.openxmlformats.org/officeDocument/2006/relationships" name="Confirmed stack" sheetId="2" state="visible" r:id="rId2"/>
    <sheet xmlns:r="http://schemas.openxmlformats.org/officeDocument/2006/relationships" name="Platform teams" sheetId="3" state="visible" r:id="rId3"/>
  </sheets>
  <definedNames>
    <definedName name="_xlnm._FilterDatabase" localSheetId="0" hidden="1">'Platform Ranking'!$A$8:$J$9</definedName>
    <definedName name="_xlnm._FilterDatabase" localSheetId="1" hidden="1">'Confirmed stack'!$A$4:$E$4</definedName>
  </definedNames>
  <calcPr calcId="124519" fullCalcOnLoad="1"/>
</workbook>
</file>

<file path=xl/styles.xml><?xml version="1.0" encoding="utf-8"?>
<styleSheet xmlns="http://schemas.openxmlformats.org/spreadsheetml/2006/main">
  <numFmts count="1">
    <numFmt numFmtId="164" formatCode="yyyy-mm-dd"/>
  </numFmts>
  <fonts count="7">
    <font>
      <name val="Arial"/>
      <color rgb="00000000"/>
      <sz val="10"/>
    </font>
    <font>
      <name val="Arial"/>
      <b val="1"/>
      <color rgb="00FFFFFF"/>
      <sz val="10"/>
    </font>
    <font>
      <name val="Arial"/>
      <b val="1"/>
      <color rgb="001F3A5F"/>
      <sz val="14"/>
    </font>
    <font>
      <name val="Arial"/>
      <i val="1"/>
      <color rgb="00000000"/>
      <sz val="9"/>
    </font>
    <font>
      <name val="Arial"/>
      <b val="1"/>
      <color rgb="00000000"/>
      <sz val="10"/>
    </font>
    <font>
      <name val="Arial"/>
      <color rgb="001155CC"/>
      <sz val="10"/>
      <u val="single"/>
    </font>
    <font>
      <name val="Arial"/>
      <b val="1"/>
      <color rgb="001155CC"/>
      <sz val="10"/>
      <u val="single"/>
    </font>
  </fonts>
  <fills count="10">
    <fill>
      <patternFill/>
    </fill>
    <fill>
      <patternFill patternType="gray125"/>
    </fill>
    <fill>
      <patternFill patternType="solid">
        <fgColor rgb="001F3A5F"/>
        <bgColor rgb="001F3A5F"/>
      </patternFill>
    </fill>
    <fill>
      <patternFill patternType="solid">
        <fgColor rgb="00DDEFE0"/>
        <bgColor rgb="00DDEFE0"/>
      </patternFill>
    </fill>
    <fill>
      <patternFill patternType="solid">
        <fgColor rgb="00FFF1CC"/>
        <bgColor rgb="00FFF1CC"/>
      </patternFill>
    </fill>
    <fill>
      <patternFill patternType="solid">
        <fgColor rgb="00EEEEEE"/>
        <bgColor rgb="00EEEEEE"/>
      </patternFill>
    </fill>
    <fill>
      <patternFill patternType="solid">
        <fgColor rgb="00C6EFCE"/>
        <bgColor rgb="00C6EFCE"/>
      </patternFill>
    </fill>
    <fill>
      <patternFill patternType="solid">
        <fgColor rgb="00FFEB9C"/>
        <bgColor rgb="00FFEB9C"/>
      </patternFill>
    </fill>
    <fill>
      <patternFill patternType="solid">
        <fgColor rgb="00E7E6E6"/>
        <bgColor rgb="00E7E6E6"/>
      </patternFill>
    </fill>
    <fill>
      <patternFill patternType="solid">
        <fgColor rgb="00FFF9E6"/>
        <bgColor rgb="00FFF9E6"/>
      </patternFill>
    </fill>
  </fills>
  <borders count="3">
    <border>
      <left/>
      <right/>
      <top/>
      <bottom/>
      <diagonal/>
    </border>
    <border/>
    <border>
      <left style="thin">
        <color rgb="00BFC5CC"/>
      </left>
      <right style="thin">
        <color rgb="00BFC5CC"/>
      </right>
      <top style="thin">
        <color rgb="00BFC5CC"/>
      </top>
      <bottom style="thin">
        <color rgb="00BFC5CC"/>
      </bottom>
    </border>
  </borders>
  <cellStyleXfs count="250">
    <xf numFmtId="0" fontId="0" fillId="0" borderId="0"/>
    <xf numFmtId="49" fontId="1" fillId="2" borderId="1" applyAlignment="1">
      <alignment vertical="center" wrapText="1"/>
    </xf>
    <xf numFmtId="49" fontId="1" fillId="2" borderId="2" applyAlignment="1">
      <alignment vertical="center" wrapText="1"/>
    </xf>
    <xf numFmtId="49" fontId="2" fillId="0" borderId="1" applyAlignment="1">
      <alignment vertical="top"/>
    </xf>
    <xf numFmtId="49" fontId="3" fillId="0" borderId="1" applyAlignment="1">
      <alignment vertical="top"/>
    </xf>
    <xf numFmtId="49" fontId="0" fillId="0" borderId="1" applyAlignment="1">
      <alignment vertical="top" wrapText="1"/>
    </xf>
    <xf numFmtId="49" fontId="3" fillId="0" borderId="1" applyAlignment="1">
      <alignment vertical="top" wrapText="1"/>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164" fontId="0" fillId="0" borderId="2" applyAlignment="1">
      <alignment vertical="top"/>
    </xf>
    <xf numFmtId="164" fontId="0" fillId="3" borderId="2" applyAlignment="1">
      <alignment vertical="top"/>
    </xf>
    <xf numFmtId="164" fontId="0" fillId="4" borderId="2" applyAlignment="1">
      <alignment vertical="top"/>
    </xf>
    <xf numFmtId="164" fontId="0" fillId="5" borderId="2" applyAlignment="1">
      <alignment vertical="top"/>
    </xf>
    <xf numFmtId="164" fontId="0" fillId="6" borderId="2" applyAlignment="1">
      <alignment vertical="top"/>
    </xf>
    <xf numFmtId="164" fontId="0" fillId="7" borderId="2" applyAlignment="1">
      <alignment vertical="top"/>
    </xf>
    <xf numFmtId="164" fontId="0" fillId="8" borderId="2" applyAlignment="1">
      <alignment vertical="top"/>
    </xf>
    <xf numFmtId="164" fontId="0" fillId="9" borderId="2" applyAlignment="1">
      <alignment vertical="top"/>
    </xf>
    <xf numFmtId="164" fontId="4" fillId="0" borderId="2" applyAlignment="1">
      <alignment vertical="top"/>
    </xf>
    <xf numFmtId="164" fontId="4" fillId="3" borderId="2" applyAlignment="1">
      <alignment vertical="top"/>
    </xf>
    <xf numFmtId="164" fontId="4" fillId="4" borderId="2" applyAlignment="1">
      <alignment vertical="top"/>
    </xf>
    <xf numFmtId="164" fontId="4" fillId="5" borderId="2" applyAlignment="1">
      <alignment vertical="top"/>
    </xf>
    <xf numFmtId="164" fontId="4" fillId="6" borderId="2" applyAlignment="1">
      <alignment vertical="top"/>
    </xf>
    <xf numFmtId="164" fontId="4" fillId="7" borderId="2" applyAlignment="1">
      <alignment vertical="top"/>
    </xf>
    <xf numFmtId="164" fontId="4" fillId="8" borderId="2" applyAlignment="1">
      <alignment vertical="top"/>
    </xf>
    <xf numFmtId="164" fontId="4" fillId="9" borderId="2" applyAlignment="1">
      <alignment vertical="top"/>
    </xf>
    <xf numFmtId="1" fontId="0" fillId="0" borderId="2" applyAlignment="1">
      <alignment vertical="top"/>
    </xf>
    <xf numFmtId="1" fontId="0" fillId="3" borderId="2" applyAlignment="1">
      <alignment vertical="top"/>
    </xf>
    <xf numFmtId="1" fontId="0" fillId="4" borderId="2" applyAlignment="1">
      <alignment vertical="top"/>
    </xf>
    <xf numFmtId="1" fontId="0" fillId="5" borderId="2" applyAlignment="1">
      <alignment vertical="top"/>
    </xf>
    <xf numFmtId="1" fontId="0" fillId="6" borderId="2" applyAlignment="1">
      <alignment vertical="top"/>
    </xf>
    <xf numFmtId="1" fontId="0" fillId="7" borderId="2" applyAlignment="1">
      <alignment vertical="top"/>
    </xf>
    <xf numFmtId="1" fontId="0" fillId="8" borderId="2" applyAlignment="1">
      <alignment vertical="top"/>
    </xf>
    <xf numFmtId="1" fontId="0" fillId="9" borderId="2" applyAlignment="1">
      <alignment vertical="top"/>
    </xf>
    <xf numFmtId="1" fontId="4" fillId="0" borderId="2" applyAlignment="1">
      <alignment vertical="top"/>
    </xf>
    <xf numFmtId="1" fontId="4" fillId="3" borderId="2" applyAlignment="1">
      <alignment vertical="top"/>
    </xf>
    <xf numFmtId="1" fontId="4" fillId="4" borderId="2" applyAlignment="1">
      <alignment vertical="top"/>
    </xf>
    <xf numFmtId="1" fontId="4" fillId="5" borderId="2" applyAlignment="1">
      <alignment vertical="top"/>
    </xf>
    <xf numFmtId="1" fontId="4" fillId="6" borderId="2" applyAlignment="1">
      <alignment vertical="top"/>
    </xf>
    <xf numFmtId="1" fontId="4" fillId="7" borderId="2" applyAlignment="1">
      <alignment vertical="top"/>
    </xf>
    <xf numFmtId="1" fontId="4" fillId="8" borderId="2" applyAlignment="1">
      <alignment vertical="top"/>
    </xf>
    <xf numFmtId="1" fontId="4" fillId="9" borderId="2" applyAlignment="1">
      <alignment vertical="top"/>
    </xf>
    <xf numFmtId="9" fontId="0" fillId="0" borderId="2" applyAlignment="1">
      <alignment vertical="top"/>
    </xf>
    <xf numFmtId="9" fontId="0" fillId="3" borderId="2" applyAlignment="1">
      <alignment vertical="top"/>
    </xf>
    <xf numFmtId="9" fontId="0" fillId="4" borderId="2" applyAlignment="1">
      <alignment vertical="top"/>
    </xf>
    <xf numFmtId="9" fontId="0" fillId="5" borderId="2" applyAlignment="1">
      <alignment vertical="top"/>
    </xf>
    <xf numFmtId="9" fontId="0" fillId="6" borderId="2" applyAlignment="1">
      <alignment vertical="top"/>
    </xf>
    <xf numFmtId="9" fontId="0" fillId="7" borderId="2" applyAlignment="1">
      <alignment vertical="top"/>
    </xf>
    <xf numFmtId="9" fontId="0" fillId="8" borderId="2" applyAlignment="1">
      <alignment vertical="top"/>
    </xf>
    <xf numFmtId="9" fontId="0" fillId="9" borderId="2" applyAlignment="1">
      <alignment vertical="top"/>
    </xf>
    <xf numFmtId="9" fontId="4" fillId="0" borderId="2" applyAlignment="1">
      <alignment vertical="top"/>
    </xf>
    <xf numFmtId="9" fontId="4" fillId="3" borderId="2" applyAlignment="1">
      <alignment vertical="top"/>
    </xf>
    <xf numFmtId="9" fontId="4" fillId="4" borderId="2" applyAlignment="1">
      <alignment vertical="top"/>
    </xf>
    <xf numFmtId="9" fontId="4" fillId="5" borderId="2" applyAlignment="1">
      <alignment vertical="top"/>
    </xf>
    <xf numFmtId="9" fontId="4" fillId="6" borderId="2" applyAlignment="1">
      <alignment vertical="top"/>
    </xf>
    <xf numFmtId="9" fontId="4" fillId="7" borderId="2" applyAlignment="1">
      <alignment vertical="top"/>
    </xf>
    <xf numFmtId="9" fontId="4" fillId="8" borderId="2" applyAlignment="1">
      <alignment vertical="top"/>
    </xf>
    <xf numFmtId="9" fontId="4" fillId="9" borderId="2" applyAlignment="1">
      <alignment vertical="top"/>
    </xf>
    <xf numFmtId="49" fontId="5" fillId="0" borderId="2" applyAlignment="1">
      <alignment vertical="top"/>
    </xf>
    <xf numFmtId="49" fontId="5" fillId="3" borderId="2" applyAlignment="1">
      <alignment vertical="top"/>
    </xf>
    <xf numFmtId="49" fontId="5" fillId="4" borderId="2" applyAlignment="1">
      <alignment vertical="top"/>
    </xf>
    <xf numFmtId="49" fontId="5" fillId="5" borderId="2" applyAlignment="1">
      <alignment vertical="top"/>
    </xf>
    <xf numFmtId="49" fontId="5" fillId="6" borderId="2" applyAlignment="1">
      <alignment vertical="top"/>
    </xf>
    <xf numFmtId="49" fontId="5" fillId="7" borderId="2" applyAlignment="1">
      <alignment vertical="top"/>
    </xf>
    <xf numFmtId="49" fontId="5" fillId="8" borderId="2" applyAlignment="1">
      <alignment vertical="top"/>
    </xf>
    <xf numFmtId="49" fontId="5" fillId="9" borderId="2" applyAlignment="1">
      <alignment vertical="top"/>
    </xf>
    <xf numFmtId="49" fontId="6" fillId="0" borderId="2" applyAlignment="1">
      <alignment vertical="top"/>
    </xf>
    <xf numFmtId="49" fontId="6" fillId="3" borderId="2" applyAlignment="1">
      <alignment vertical="top"/>
    </xf>
    <xf numFmtId="49" fontId="6" fillId="4" borderId="2" applyAlignment="1">
      <alignment vertical="top"/>
    </xf>
    <xf numFmtId="49" fontId="6" fillId="5" borderId="2" applyAlignment="1">
      <alignment vertical="top"/>
    </xf>
    <xf numFmtId="49" fontId="6" fillId="6" borderId="2" applyAlignment="1">
      <alignment vertical="top"/>
    </xf>
    <xf numFmtId="49" fontId="6" fillId="7" borderId="2" applyAlignment="1">
      <alignment vertical="top"/>
    </xf>
    <xf numFmtId="49" fontId="6" fillId="8" borderId="2" applyAlignment="1">
      <alignment vertical="top"/>
    </xf>
    <xf numFmtId="49" fontId="6" fillId="9" borderId="2" applyAlignment="1">
      <alignment vertical="top"/>
    </xf>
    <xf numFmtId="49" fontId="0" fillId="0" borderId="1" applyAlignment="1">
      <alignment vertical="top"/>
    </xf>
    <xf numFmtId="1" fontId="4" fillId="0" borderId="1"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4" fillId="0" borderId="1" applyAlignment="1">
      <alignment vertical="top"/>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1" fontId="0" fillId="0" borderId="2" applyAlignment="1">
      <alignment vertical="top" wrapText="1"/>
    </xf>
    <xf numFmtId="1" fontId="0" fillId="3" borderId="2" applyAlignment="1">
      <alignment vertical="top" wrapText="1"/>
    </xf>
    <xf numFmtId="1" fontId="0" fillId="4" borderId="2" applyAlignment="1">
      <alignment vertical="top" wrapText="1"/>
    </xf>
    <xf numFmtId="1" fontId="0" fillId="5" borderId="2" applyAlignment="1">
      <alignment vertical="top" wrapText="1"/>
    </xf>
    <xf numFmtId="1" fontId="0" fillId="6" borderId="2" applyAlignment="1">
      <alignment vertical="top" wrapText="1"/>
    </xf>
    <xf numFmtId="1" fontId="0" fillId="7" borderId="2" applyAlignment="1">
      <alignment vertical="top" wrapText="1"/>
    </xf>
    <xf numFmtId="1" fontId="0" fillId="8" borderId="2" applyAlignment="1">
      <alignment vertical="top" wrapText="1"/>
    </xf>
    <xf numFmtId="1" fontId="0" fillId="9" borderId="2" applyAlignment="1">
      <alignment vertical="top" wrapText="1"/>
    </xf>
    <xf numFmtId="1" fontId="4" fillId="0" borderId="2" applyAlignment="1">
      <alignment vertical="top" wrapText="1"/>
    </xf>
    <xf numFmtId="1" fontId="4" fillId="3" borderId="2" applyAlignment="1">
      <alignment vertical="top" wrapText="1"/>
    </xf>
    <xf numFmtId="1" fontId="4" fillId="4" borderId="2" applyAlignment="1">
      <alignment vertical="top" wrapText="1"/>
    </xf>
    <xf numFmtId="1" fontId="4" fillId="5" borderId="2" applyAlignment="1">
      <alignment vertical="top" wrapText="1"/>
    </xf>
    <xf numFmtId="1" fontId="4" fillId="6" borderId="2" applyAlignment="1">
      <alignment vertical="top" wrapText="1"/>
    </xf>
    <xf numFmtId="1" fontId="4" fillId="7" borderId="2" applyAlignment="1">
      <alignment vertical="top" wrapText="1"/>
    </xf>
    <xf numFmtId="1" fontId="4" fillId="8" borderId="2" applyAlignment="1">
      <alignment vertical="top" wrapText="1"/>
    </xf>
    <xf numFmtId="1" fontId="4" fillId="9" borderId="2" applyAlignment="1">
      <alignment vertical="top" wrapText="1"/>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cellStyleXfs>
  <cellXfs count="250">
    <xf numFmtId="0" fontId="0" fillId="0" borderId="0" pivotButton="0" quotePrefix="0" xfId="0"/>
    <xf numFmtId="49" fontId="1" fillId="2" borderId="1" applyAlignment="1" pivotButton="0" quotePrefix="0" xfId="1">
      <alignment vertical="center" wrapText="1"/>
    </xf>
    <xf numFmtId="49" fontId="1" fillId="2" borderId="2" applyAlignment="1" pivotButton="0" quotePrefix="0" xfId="2">
      <alignment vertical="center" wrapText="1"/>
    </xf>
    <xf numFmtId="49" fontId="2" fillId="0" borderId="1" applyAlignment="1" pivotButton="0" quotePrefix="0" xfId="3">
      <alignment vertical="top"/>
    </xf>
    <xf numFmtId="49" fontId="3" fillId="0" borderId="1" applyAlignment="1" pivotButton="0" quotePrefix="0" xfId="4">
      <alignment vertical="top"/>
    </xf>
    <xf numFmtId="49" fontId="0" fillId="0" borderId="1" applyAlignment="1" pivotButton="0" quotePrefix="0" xfId="5">
      <alignment vertical="top" wrapText="1"/>
    </xf>
    <xf numFmtId="49" fontId="3" fillId="0" borderId="1" applyAlignment="1" pivotButton="0" quotePrefix="0" xfId="6">
      <alignment vertical="top" wrapText="1"/>
    </xf>
    <xf numFmtId="49" fontId="0" fillId="0" borderId="2" applyAlignment="1" pivotButton="0" quotePrefix="0" xfId="7">
      <alignment vertical="top"/>
    </xf>
    <xf numFmtId="49" fontId="0" fillId="3" borderId="2" applyAlignment="1" pivotButton="0" quotePrefix="0" xfId="8">
      <alignment vertical="top"/>
    </xf>
    <xf numFmtId="49" fontId="0" fillId="4" borderId="2" applyAlignment="1" pivotButton="0" quotePrefix="0" xfId="9">
      <alignment vertical="top"/>
    </xf>
    <xf numFmtId="49" fontId="0" fillId="5" borderId="2" applyAlignment="1" pivotButton="0" quotePrefix="0" xfId="10">
      <alignment vertical="top"/>
    </xf>
    <xf numFmtId="49" fontId="0" fillId="6" borderId="2" applyAlignment="1" pivotButton="0" quotePrefix="0" xfId="11">
      <alignment vertical="top"/>
    </xf>
    <xf numFmtId="49" fontId="0" fillId="7" borderId="2" applyAlignment="1" pivotButton="0" quotePrefix="0" xfId="12">
      <alignment vertical="top"/>
    </xf>
    <xf numFmtId="49" fontId="0" fillId="8" borderId="2" applyAlignment="1" pivotButton="0" quotePrefix="0" xfId="13">
      <alignment vertical="top"/>
    </xf>
    <xf numFmtId="49" fontId="0" fillId="9" borderId="2" applyAlignment="1" pivotButton="0" quotePrefix="0" xfId="14">
      <alignment vertical="top"/>
    </xf>
    <xf numFmtId="49" fontId="4" fillId="0" borderId="2" applyAlignment="1" pivotButton="0" quotePrefix="0" xfId="15">
      <alignment vertical="top"/>
    </xf>
    <xf numFmtId="49" fontId="4" fillId="3" borderId="2" applyAlignment="1" pivotButton="0" quotePrefix="0" xfId="16">
      <alignment vertical="top"/>
    </xf>
    <xf numFmtId="49" fontId="4" fillId="4" borderId="2" applyAlignment="1" pivotButton="0" quotePrefix="0" xfId="17">
      <alignment vertical="top"/>
    </xf>
    <xf numFmtId="49" fontId="4" fillId="5" borderId="2" applyAlignment="1" pivotButton="0" quotePrefix="0" xfId="18">
      <alignment vertical="top"/>
    </xf>
    <xf numFmtId="49" fontId="4" fillId="6" borderId="2" applyAlignment="1" pivotButton="0" quotePrefix="0" xfId="19">
      <alignment vertical="top"/>
    </xf>
    <xf numFmtId="49" fontId="4" fillId="7" borderId="2" applyAlignment="1" pivotButton="0" quotePrefix="0" xfId="20">
      <alignment vertical="top"/>
    </xf>
    <xf numFmtId="49" fontId="4" fillId="8" borderId="2" applyAlignment="1" pivotButton="0" quotePrefix="0" xfId="21">
      <alignment vertical="top"/>
    </xf>
    <xf numFmtId="49" fontId="4" fillId="9" borderId="2" applyAlignment="1" pivotButton="0" quotePrefix="0" xfId="22">
      <alignment vertical="top"/>
    </xf>
    <xf numFmtId="49" fontId="0" fillId="0" borderId="2" applyAlignment="1" pivotButton="0" quotePrefix="0" xfId="23">
      <alignment vertical="top"/>
    </xf>
    <xf numFmtId="49" fontId="0" fillId="3" borderId="2" applyAlignment="1" pivotButton="0" quotePrefix="0" xfId="24">
      <alignment vertical="top"/>
    </xf>
    <xf numFmtId="49" fontId="0" fillId="4" borderId="2" applyAlignment="1" pivotButton="0" quotePrefix="0" xfId="25">
      <alignment vertical="top"/>
    </xf>
    <xf numFmtId="49" fontId="0" fillId="5" borderId="2" applyAlignment="1" pivotButton="0" quotePrefix="0" xfId="26">
      <alignment vertical="top"/>
    </xf>
    <xf numFmtId="49" fontId="0" fillId="6" borderId="2" applyAlignment="1" pivotButton="0" quotePrefix="0" xfId="27">
      <alignment vertical="top"/>
    </xf>
    <xf numFmtId="49" fontId="0" fillId="7" borderId="2" applyAlignment="1" pivotButton="0" quotePrefix="0" xfId="28">
      <alignment vertical="top"/>
    </xf>
    <xf numFmtId="49" fontId="0" fillId="8" borderId="2" applyAlignment="1" pivotButton="0" quotePrefix="0" xfId="29">
      <alignment vertical="top"/>
    </xf>
    <xf numFmtId="49" fontId="0" fillId="9" borderId="2" applyAlignment="1" pivotButton="0" quotePrefix="0" xfId="30">
      <alignment vertical="top"/>
    </xf>
    <xf numFmtId="49" fontId="4" fillId="0" borderId="2" applyAlignment="1" pivotButton="0" quotePrefix="0" xfId="31">
      <alignment vertical="top"/>
    </xf>
    <xf numFmtId="49" fontId="4" fillId="3" borderId="2" applyAlignment="1" pivotButton="0" quotePrefix="0" xfId="32">
      <alignment vertical="top"/>
    </xf>
    <xf numFmtId="49" fontId="4" fillId="4" borderId="2" applyAlignment="1" pivotButton="0" quotePrefix="0" xfId="33">
      <alignment vertical="top"/>
    </xf>
    <xf numFmtId="49" fontId="4" fillId="5" borderId="2" applyAlignment="1" pivotButton="0" quotePrefix="0" xfId="34">
      <alignment vertical="top"/>
    </xf>
    <xf numFmtId="49" fontId="4" fillId="6" borderId="2" applyAlignment="1" pivotButton="0" quotePrefix="0" xfId="35">
      <alignment vertical="top"/>
    </xf>
    <xf numFmtId="49" fontId="4" fillId="7" borderId="2" applyAlignment="1" pivotButton="0" quotePrefix="0" xfId="36">
      <alignment vertical="top"/>
    </xf>
    <xf numFmtId="49" fontId="4" fillId="8" borderId="2" applyAlignment="1" pivotButton="0" quotePrefix="0" xfId="37">
      <alignment vertical="top"/>
    </xf>
    <xf numFmtId="49" fontId="4" fillId="9" borderId="2" applyAlignment="1" pivotButton="0" quotePrefix="0" xfId="38">
      <alignment vertical="top"/>
    </xf>
    <xf numFmtId="49" fontId="0" fillId="0" borderId="2" applyAlignment="1" pivotButton="0" quotePrefix="0" xfId="39">
      <alignment vertical="top"/>
    </xf>
    <xf numFmtId="49" fontId="0" fillId="3" borderId="2" applyAlignment="1" pivotButton="0" quotePrefix="0" xfId="40">
      <alignment vertical="top"/>
    </xf>
    <xf numFmtId="49" fontId="0" fillId="4" borderId="2" applyAlignment="1" pivotButton="0" quotePrefix="0" xfId="41">
      <alignment vertical="top"/>
    </xf>
    <xf numFmtId="49" fontId="0" fillId="5" borderId="2" applyAlignment="1" pivotButton="0" quotePrefix="0" xfId="42">
      <alignment vertical="top"/>
    </xf>
    <xf numFmtId="49" fontId="0" fillId="6" borderId="2" applyAlignment="1" pivotButton="0" quotePrefix="0" xfId="43">
      <alignment vertical="top"/>
    </xf>
    <xf numFmtId="49" fontId="0" fillId="7" borderId="2" applyAlignment="1" pivotButton="0" quotePrefix="0" xfId="44">
      <alignment vertical="top"/>
    </xf>
    <xf numFmtId="49" fontId="0" fillId="8" borderId="2" applyAlignment="1" pivotButton="0" quotePrefix="0" xfId="45">
      <alignment vertical="top"/>
    </xf>
    <xf numFmtId="49" fontId="0" fillId="9" borderId="2" applyAlignment="1" pivotButton="0" quotePrefix="0" xfId="46">
      <alignment vertical="top"/>
    </xf>
    <xf numFmtId="49" fontId="4" fillId="0" borderId="2" applyAlignment="1" pivotButton="0" quotePrefix="0" xfId="47">
      <alignment vertical="top"/>
    </xf>
    <xf numFmtId="49" fontId="4" fillId="3" borderId="2" applyAlignment="1" pivotButton="0" quotePrefix="0" xfId="48">
      <alignment vertical="top"/>
    </xf>
    <xf numFmtId="49" fontId="4" fillId="4" borderId="2" applyAlignment="1" pivotButton="0" quotePrefix="0" xfId="49">
      <alignment vertical="top"/>
    </xf>
    <xf numFmtId="49" fontId="4" fillId="5" borderId="2" applyAlignment="1" pivotButton="0" quotePrefix="0" xfId="50">
      <alignment vertical="top"/>
    </xf>
    <xf numFmtId="49" fontId="4" fillId="6" borderId="2" applyAlignment="1" pivotButton="0" quotePrefix="0" xfId="51">
      <alignment vertical="top"/>
    </xf>
    <xf numFmtId="49" fontId="4" fillId="7" borderId="2" applyAlignment="1" pivotButton="0" quotePrefix="0" xfId="52">
      <alignment vertical="top"/>
    </xf>
    <xf numFmtId="49" fontId="4" fillId="8" borderId="2" applyAlignment="1" pivotButton="0" quotePrefix="0" xfId="53">
      <alignment vertical="top"/>
    </xf>
    <xf numFmtId="49" fontId="4" fillId="9" borderId="2" applyAlignment="1" pivotButton="0" quotePrefix="0" xfId="54">
      <alignment vertical="top"/>
    </xf>
    <xf numFmtId="49" fontId="0" fillId="0" borderId="2" applyAlignment="1" pivotButton="0" quotePrefix="0" xfId="55">
      <alignment vertical="top" wrapText="1"/>
    </xf>
    <xf numFmtId="49" fontId="0" fillId="3" borderId="2" applyAlignment="1" pivotButton="0" quotePrefix="0" xfId="56">
      <alignment vertical="top" wrapText="1"/>
    </xf>
    <xf numFmtId="49" fontId="0" fillId="4" borderId="2" applyAlignment="1" pivotButton="0" quotePrefix="0" xfId="57">
      <alignment vertical="top" wrapText="1"/>
    </xf>
    <xf numFmtId="49" fontId="0" fillId="5" borderId="2" applyAlignment="1" pivotButton="0" quotePrefix="0" xfId="58">
      <alignment vertical="top" wrapText="1"/>
    </xf>
    <xf numFmtId="49" fontId="0" fillId="6" borderId="2" applyAlignment="1" pivotButton="0" quotePrefix="0" xfId="59">
      <alignment vertical="top" wrapText="1"/>
    </xf>
    <xf numFmtId="49" fontId="0" fillId="7" borderId="2" applyAlignment="1" pivotButton="0" quotePrefix="0" xfId="60">
      <alignment vertical="top" wrapText="1"/>
    </xf>
    <xf numFmtId="49" fontId="0" fillId="8" borderId="2" applyAlignment="1" pivotButton="0" quotePrefix="0" xfId="61">
      <alignment vertical="top" wrapText="1"/>
    </xf>
    <xf numFmtId="49" fontId="0" fillId="9" borderId="2" applyAlignment="1" pivotButton="0" quotePrefix="0" xfId="62">
      <alignment vertical="top" wrapText="1"/>
    </xf>
    <xf numFmtId="49" fontId="4" fillId="0" borderId="2" applyAlignment="1" pivotButton="0" quotePrefix="0" xfId="63">
      <alignment vertical="top" wrapText="1"/>
    </xf>
    <xf numFmtId="49" fontId="4" fillId="3" borderId="2" applyAlignment="1" pivotButton="0" quotePrefix="0" xfId="64">
      <alignment vertical="top" wrapText="1"/>
    </xf>
    <xf numFmtId="49" fontId="4" fillId="4" borderId="2" applyAlignment="1" pivotButton="0" quotePrefix="0" xfId="65">
      <alignment vertical="top" wrapText="1"/>
    </xf>
    <xf numFmtId="49" fontId="4" fillId="5" borderId="2" applyAlignment="1" pivotButton="0" quotePrefix="0" xfId="66">
      <alignment vertical="top" wrapText="1"/>
    </xf>
    <xf numFmtId="49" fontId="4" fillId="6" borderId="2" applyAlignment="1" pivotButton="0" quotePrefix="0" xfId="67">
      <alignment vertical="top" wrapText="1"/>
    </xf>
    <xf numFmtId="49" fontId="4" fillId="7" borderId="2" applyAlignment="1" pivotButton="0" quotePrefix="0" xfId="68">
      <alignment vertical="top" wrapText="1"/>
    </xf>
    <xf numFmtId="49" fontId="4" fillId="8" borderId="2" applyAlignment="1" pivotButton="0" quotePrefix="0" xfId="69">
      <alignment vertical="top" wrapText="1"/>
    </xf>
    <xf numFmtId="49" fontId="4" fillId="9" borderId="2" applyAlignment="1" pivotButton="0" quotePrefix="0" xfId="70">
      <alignment vertical="top" wrapText="1"/>
    </xf>
    <xf numFmtId="49" fontId="0" fillId="0" borderId="2" applyAlignment="1" pivotButton="0" quotePrefix="0" xfId="71">
      <alignment vertical="top" wrapText="1"/>
    </xf>
    <xf numFmtId="49" fontId="0" fillId="3" borderId="2" applyAlignment="1" pivotButton="0" quotePrefix="0" xfId="72">
      <alignment vertical="top" wrapText="1"/>
    </xf>
    <xf numFmtId="49" fontId="0" fillId="4" borderId="2" applyAlignment="1" pivotButton="0" quotePrefix="0" xfId="73">
      <alignment vertical="top" wrapText="1"/>
    </xf>
    <xf numFmtId="49" fontId="0" fillId="5" borderId="2" applyAlignment="1" pivotButton="0" quotePrefix="0" xfId="74">
      <alignment vertical="top" wrapText="1"/>
    </xf>
    <xf numFmtId="49" fontId="0" fillId="6" borderId="2" applyAlignment="1" pivotButton="0" quotePrefix="0" xfId="75">
      <alignment vertical="top" wrapText="1"/>
    </xf>
    <xf numFmtId="49" fontId="0" fillId="7" borderId="2" applyAlignment="1" pivotButton="0" quotePrefix="0" xfId="76">
      <alignment vertical="top" wrapText="1"/>
    </xf>
    <xf numFmtId="49" fontId="0" fillId="8" borderId="2" applyAlignment="1" pivotButton="0" quotePrefix="0" xfId="77">
      <alignment vertical="top" wrapText="1"/>
    </xf>
    <xf numFmtId="49" fontId="0" fillId="9" borderId="2" applyAlignment="1" pivotButton="0" quotePrefix="0" xfId="78">
      <alignment vertical="top" wrapText="1"/>
    </xf>
    <xf numFmtId="49" fontId="4" fillId="0" borderId="2" applyAlignment="1" pivotButton="0" quotePrefix="0" xfId="79">
      <alignment vertical="top" wrapText="1"/>
    </xf>
    <xf numFmtId="49" fontId="4" fillId="3" borderId="2" applyAlignment="1" pivotButton="0" quotePrefix="0" xfId="80">
      <alignment vertical="top" wrapText="1"/>
    </xf>
    <xf numFmtId="49" fontId="4" fillId="4" borderId="2" applyAlignment="1" pivotButton="0" quotePrefix="0" xfId="81">
      <alignment vertical="top" wrapText="1"/>
    </xf>
    <xf numFmtId="49" fontId="4" fillId="5" borderId="2" applyAlignment="1" pivotButton="0" quotePrefix="0" xfId="82">
      <alignment vertical="top" wrapText="1"/>
    </xf>
    <xf numFmtId="49" fontId="4" fillId="6" borderId="2" applyAlignment="1" pivotButton="0" quotePrefix="0" xfId="83">
      <alignment vertical="top" wrapText="1"/>
    </xf>
    <xf numFmtId="49" fontId="4" fillId="7" borderId="2" applyAlignment="1" pivotButton="0" quotePrefix="0" xfId="84">
      <alignment vertical="top" wrapText="1"/>
    </xf>
    <xf numFmtId="49" fontId="4" fillId="8" borderId="2" applyAlignment="1" pivotButton="0" quotePrefix="0" xfId="85">
      <alignment vertical="top" wrapText="1"/>
    </xf>
    <xf numFmtId="49" fontId="4" fillId="9" borderId="2" applyAlignment="1" pivotButton="0" quotePrefix="0" xfId="86">
      <alignment vertical="top" wrapText="1"/>
    </xf>
    <xf numFmtId="49" fontId="0" fillId="0" borderId="2" applyAlignment="1" pivotButton="0" quotePrefix="0" xfId="87">
      <alignment vertical="top"/>
    </xf>
    <xf numFmtId="49" fontId="0" fillId="3" borderId="2" applyAlignment="1" pivotButton="0" quotePrefix="0" xfId="88">
      <alignment vertical="top"/>
    </xf>
    <xf numFmtId="49" fontId="0" fillId="4" borderId="2" applyAlignment="1" pivotButton="0" quotePrefix="0" xfId="89">
      <alignment vertical="top"/>
    </xf>
    <xf numFmtId="49" fontId="0" fillId="5" borderId="2" applyAlignment="1" pivotButton="0" quotePrefix="0" xfId="90">
      <alignment vertical="top"/>
    </xf>
    <xf numFmtId="49" fontId="0" fillId="6" borderId="2" applyAlignment="1" pivotButton="0" quotePrefix="0" xfId="91">
      <alignment vertical="top"/>
    </xf>
    <xf numFmtId="49" fontId="0" fillId="7" borderId="2" applyAlignment="1" pivotButton="0" quotePrefix="0" xfId="92">
      <alignment vertical="top"/>
    </xf>
    <xf numFmtId="49" fontId="0" fillId="8" borderId="2" applyAlignment="1" pivotButton="0" quotePrefix="0" xfId="93">
      <alignment vertical="top"/>
    </xf>
    <xf numFmtId="49" fontId="0" fillId="9" borderId="2" applyAlignment="1" pivotButton="0" quotePrefix="0" xfId="94">
      <alignment vertical="top"/>
    </xf>
    <xf numFmtId="49" fontId="4" fillId="0" borderId="2" applyAlignment="1" pivotButton="0" quotePrefix="0" xfId="95">
      <alignment vertical="top"/>
    </xf>
    <xf numFmtId="49" fontId="4" fillId="3" borderId="2" applyAlignment="1" pivotButton="0" quotePrefix="0" xfId="96">
      <alignment vertical="top"/>
    </xf>
    <xf numFmtId="49" fontId="4" fillId="4" borderId="2" applyAlignment="1" pivotButton="0" quotePrefix="0" xfId="97">
      <alignment vertical="top"/>
    </xf>
    <xf numFmtId="49" fontId="4" fillId="5" borderId="2" applyAlignment="1" pivotButton="0" quotePrefix="0" xfId="98">
      <alignment vertical="top"/>
    </xf>
    <xf numFmtId="49" fontId="4" fillId="6" borderId="2" applyAlignment="1" pivotButton="0" quotePrefix="0" xfId="99">
      <alignment vertical="top"/>
    </xf>
    <xf numFmtId="49" fontId="4" fillId="7" borderId="2" applyAlignment="1" pivotButton="0" quotePrefix="0" xfId="100">
      <alignment vertical="top"/>
    </xf>
    <xf numFmtId="49" fontId="4" fillId="8" borderId="2" applyAlignment="1" pivotButton="0" quotePrefix="0" xfId="101">
      <alignment vertical="top"/>
    </xf>
    <xf numFmtId="49" fontId="4" fillId="9" borderId="2" applyAlignment="1" pivotButton="0" quotePrefix="0" xfId="102">
      <alignment vertical="top"/>
    </xf>
    <xf numFmtId="164" fontId="0" fillId="0" borderId="2" applyAlignment="1" pivotButton="0" quotePrefix="0" xfId="103">
      <alignment vertical="top"/>
    </xf>
    <xf numFmtId="164" fontId="0" fillId="3" borderId="2" applyAlignment="1" pivotButton="0" quotePrefix="0" xfId="104">
      <alignment vertical="top"/>
    </xf>
    <xf numFmtId="164" fontId="0" fillId="4" borderId="2" applyAlignment="1" pivotButton="0" quotePrefix="0" xfId="105">
      <alignment vertical="top"/>
    </xf>
    <xf numFmtId="164" fontId="0" fillId="5" borderId="2" applyAlignment="1" pivotButton="0" quotePrefix="0" xfId="106">
      <alignment vertical="top"/>
    </xf>
    <xf numFmtId="164" fontId="0" fillId="6" borderId="2" applyAlignment="1" pivotButton="0" quotePrefix="0" xfId="107">
      <alignment vertical="top"/>
    </xf>
    <xf numFmtId="164" fontId="0" fillId="7" borderId="2" applyAlignment="1" pivotButton="0" quotePrefix="0" xfId="108">
      <alignment vertical="top"/>
    </xf>
    <xf numFmtId="164" fontId="0" fillId="8" borderId="2" applyAlignment="1" pivotButton="0" quotePrefix="0" xfId="109">
      <alignment vertical="top"/>
    </xf>
    <xf numFmtId="164" fontId="0" fillId="9" borderId="2" applyAlignment="1" pivotButton="0" quotePrefix="0" xfId="110">
      <alignment vertical="top"/>
    </xf>
    <xf numFmtId="164" fontId="4" fillId="0" borderId="2" applyAlignment="1" pivotButton="0" quotePrefix="0" xfId="111">
      <alignment vertical="top"/>
    </xf>
    <xf numFmtId="164" fontId="4" fillId="3" borderId="2" applyAlignment="1" pivotButton="0" quotePrefix="0" xfId="112">
      <alignment vertical="top"/>
    </xf>
    <xf numFmtId="164" fontId="4" fillId="4" borderId="2" applyAlignment="1" pivotButton="0" quotePrefix="0" xfId="113">
      <alignment vertical="top"/>
    </xf>
    <xf numFmtId="164" fontId="4" fillId="5" borderId="2" applyAlignment="1" pivotButton="0" quotePrefix="0" xfId="114">
      <alignment vertical="top"/>
    </xf>
    <xf numFmtId="164" fontId="4" fillId="6" borderId="2" applyAlignment="1" pivotButton="0" quotePrefix="0" xfId="115">
      <alignment vertical="top"/>
    </xf>
    <xf numFmtId="164" fontId="4" fillId="7" borderId="2" applyAlignment="1" pivotButton="0" quotePrefix="0" xfId="116">
      <alignment vertical="top"/>
    </xf>
    <xf numFmtId="164" fontId="4" fillId="8" borderId="2" applyAlignment="1" pivotButton="0" quotePrefix="0" xfId="117">
      <alignment vertical="top"/>
    </xf>
    <xf numFmtId="164" fontId="4" fillId="9" borderId="2" applyAlignment="1" pivotButton="0" quotePrefix="0" xfId="118">
      <alignment vertical="top"/>
    </xf>
    <xf numFmtId="1" fontId="0" fillId="0" borderId="2" applyAlignment="1" pivotButton="0" quotePrefix="0" xfId="119">
      <alignment vertical="top"/>
    </xf>
    <xf numFmtId="1" fontId="0" fillId="3" borderId="2" applyAlignment="1" pivotButton="0" quotePrefix="0" xfId="120">
      <alignment vertical="top"/>
    </xf>
    <xf numFmtId="1" fontId="0" fillId="4" borderId="2" applyAlignment="1" pivotButton="0" quotePrefix="0" xfId="121">
      <alignment vertical="top"/>
    </xf>
    <xf numFmtId="1" fontId="0" fillId="5" borderId="2" applyAlignment="1" pivotButton="0" quotePrefix="0" xfId="122">
      <alignment vertical="top"/>
    </xf>
    <xf numFmtId="1" fontId="0" fillId="6" borderId="2" applyAlignment="1" pivotButton="0" quotePrefix="0" xfId="123">
      <alignment vertical="top"/>
    </xf>
    <xf numFmtId="1" fontId="0" fillId="7" borderId="2" applyAlignment="1" pivotButton="0" quotePrefix="0" xfId="124">
      <alignment vertical="top"/>
    </xf>
    <xf numFmtId="1" fontId="0" fillId="8" borderId="2" applyAlignment="1" pivotButton="0" quotePrefix="0" xfId="125">
      <alignment vertical="top"/>
    </xf>
    <xf numFmtId="1" fontId="0" fillId="9" borderId="2" applyAlignment="1" pivotButton="0" quotePrefix="0" xfId="126">
      <alignment vertical="top"/>
    </xf>
    <xf numFmtId="1" fontId="4" fillId="0" borderId="2" applyAlignment="1" pivotButton="0" quotePrefix="0" xfId="127">
      <alignment vertical="top"/>
    </xf>
    <xf numFmtId="1" fontId="4" fillId="3" borderId="2" applyAlignment="1" pivotButton="0" quotePrefix="0" xfId="128">
      <alignment vertical="top"/>
    </xf>
    <xf numFmtId="1" fontId="4" fillId="4" borderId="2" applyAlignment="1" pivotButton="0" quotePrefix="0" xfId="129">
      <alignment vertical="top"/>
    </xf>
    <xf numFmtId="1" fontId="4" fillId="5" borderId="2" applyAlignment="1" pivotButton="0" quotePrefix="0" xfId="130">
      <alignment vertical="top"/>
    </xf>
    <xf numFmtId="1" fontId="4" fillId="6" borderId="2" applyAlignment="1" pivotButton="0" quotePrefix="0" xfId="131">
      <alignment vertical="top"/>
    </xf>
    <xf numFmtId="1" fontId="4" fillId="7" borderId="2" applyAlignment="1" pivotButton="0" quotePrefix="0" xfId="132">
      <alignment vertical="top"/>
    </xf>
    <xf numFmtId="1" fontId="4" fillId="8" borderId="2" applyAlignment="1" pivotButton="0" quotePrefix="0" xfId="133">
      <alignment vertical="top"/>
    </xf>
    <xf numFmtId="1" fontId="4" fillId="9" borderId="2" applyAlignment="1" pivotButton="0" quotePrefix="0" xfId="134">
      <alignment vertical="top"/>
    </xf>
    <xf numFmtId="9" fontId="0" fillId="0" borderId="2" applyAlignment="1" pivotButton="0" quotePrefix="0" xfId="135">
      <alignment vertical="top"/>
    </xf>
    <xf numFmtId="9" fontId="0" fillId="3" borderId="2" applyAlignment="1" pivotButton="0" quotePrefix="0" xfId="136">
      <alignment vertical="top"/>
    </xf>
    <xf numFmtId="9" fontId="0" fillId="4" borderId="2" applyAlignment="1" pivotButton="0" quotePrefix="0" xfId="137">
      <alignment vertical="top"/>
    </xf>
    <xf numFmtId="9" fontId="0" fillId="5" borderId="2" applyAlignment="1" pivotButton="0" quotePrefix="0" xfId="138">
      <alignment vertical="top"/>
    </xf>
    <xf numFmtId="9" fontId="0" fillId="6" borderId="2" applyAlignment="1" pivotButton="0" quotePrefix="0" xfId="139">
      <alignment vertical="top"/>
    </xf>
    <xf numFmtId="9" fontId="0" fillId="7" borderId="2" applyAlignment="1" pivotButton="0" quotePrefix="0" xfId="140">
      <alignment vertical="top"/>
    </xf>
    <xf numFmtId="9" fontId="0" fillId="8" borderId="2" applyAlignment="1" pivotButton="0" quotePrefix="0" xfId="141">
      <alignment vertical="top"/>
    </xf>
    <xf numFmtId="9" fontId="0" fillId="9" borderId="2" applyAlignment="1" pivotButton="0" quotePrefix="0" xfId="142">
      <alignment vertical="top"/>
    </xf>
    <xf numFmtId="9" fontId="4" fillId="0" borderId="2" applyAlignment="1" pivotButton="0" quotePrefix="0" xfId="143">
      <alignment vertical="top"/>
    </xf>
    <xf numFmtId="9" fontId="4" fillId="3" borderId="2" applyAlignment="1" pivotButton="0" quotePrefix="0" xfId="144">
      <alignment vertical="top"/>
    </xf>
    <xf numFmtId="9" fontId="4" fillId="4" borderId="2" applyAlignment="1" pivotButton="0" quotePrefix="0" xfId="145">
      <alignment vertical="top"/>
    </xf>
    <xf numFmtId="9" fontId="4" fillId="5" borderId="2" applyAlignment="1" pivotButton="0" quotePrefix="0" xfId="146">
      <alignment vertical="top"/>
    </xf>
    <xf numFmtId="9" fontId="4" fillId="6" borderId="2" applyAlignment="1" pivotButton="0" quotePrefix="0" xfId="147">
      <alignment vertical="top"/>
    </xf>
    <xf numFmtId="9" fontId="4" fillId="7" borderId="2" applyAlignment="1" pivotButton="0" quotePrefix="0" xfId="148">
      <alignment vertical="top"/>
    </xf>
    <xf numFmtId="9" fontId="4" fillId="8" borderId="2" applyAlignment="1" pivotButton="0" quotePrefix="0" xfId="149">
      <alignment vertical="top"/>
    </xf>
    <xf numFmtId="9" fontId="4" fillId="9" borderId="2" applyAlignment="1" pivotButton="0" quotePrefix="0" xfId="150">
      <alignment vertical="top"/>
    </xf>
    <xf numFmtId="49" fontId="5" fillId="0" borderId="2" applyAlignment="1" pivotButton="0" quotePrefix="0" xfId="151">
      <alignment vertical="top"/>
    </xf>
    <xf numFmtId="49" fontId="5" fillId="3" borderId="2" applyAlignment="1" pivotButton="0" quotePrefix="0" xfId="152">
      <alignment vertical="top"/>
    </xf>
    <xf numFmtId="49" fontId="5" fillId="4" borderId="2" applyAlignment="1" pivotButton="0" quotePrefix="0" xfId="153">
      <alignment vertical="top"/>
    </xf>
    <xf numFmtId="49" fontId="5" fillId="5" borderId="2" applyAlignment="1" pivotButton="0" quotePrefix="0" xfId="154">
      <alignment vertical="top"/>
    </xf>
    <xf numFmtId="49" fontId="5" fillId="6" borderId="2" applyAlignment="1" pivotButton="0" quotePrefix="0" xfId="155">
      <alignment vertical="top"/>
    </xf>
    <xf numFmtId="49" fontId="5" fillId="7" borderId="2" applyAlignment="1" pivotButton="0" quotePrefix="0" xfId="156">
      <alignment vertical="top"/>
    </xf>
    <xf numFmtId="49" fontId="5" fillId="8" borderId="2" applyAlignment="1" pivotButton="0" quotePrefix="0" xfId="157">
      <alignment vertical="top"/>
    </xf>
    <xf numFmtId="49" fontId="5" fillId="9" borderId="2" applyAlignment="1" pivotButton="0" quotePrefix="0" xfId="158">
      <alignment vertical="top"/>
    </xf>
    <xf numFmtId="49" fontId="6" fillId="0" borderId="2" applyAlignment="1" pivotButton="0" quotePrefix="0" xfId="159">
      <alignment vertical="top"/>
    </xf>
    <xf numFmtId="49" fontId="6" fillId="3" borderId="2" applyAlignment="1" pivotButton="0" quotePrefix="0" xfId="160">
      <alignment vertical="top"/>
    </xf>
    <xf numFmtId="49" fontId="6" fillId="4" borderId="2" applyAlignment="1" pivotButton="0" quotePrefix="0" xfId="161">
      <alignment vertical="top"/>
    </xf>
    <xf numFmtId="49" fontId="6" fillId="5" borderId="2" applyAlignment="1" pivotButton="0" quotePrefix="0" xfId="162">
      <alignment vertical="top"/>
    </xf>
    <xf numFmtId="49" fontId="6" fillId="6" borderId="2" applyAlignment="1" pivotButton="0" quotePrefix="0" xfId="163">
      <alignment vertical="top"/>
    </xf>
    <xf numFmtId="49" fontId="6" fillId="7" borderId="2" applyAlignment="1" pivotButton="0" quotePrefix="0" xfId="164">
      <alignment vertical="top"/>
    </xf>
    <xf numFmtId="49" fontId="6" fillId="8" borderId="2" applyAlignment="1" pivotButton="0" quotePrefix="0" xfId="165">
      <alignment vertical="top"/>
    </xf>
    <xf numFmtId="49" fontId="6" fillId="9" borderId="2" applyAlignment="1" pivotButton="0" quotePrefix="0" xfId="166">
      <alignment vertical="top"/>
    </xf>
    <xf numFmtId="49" fontId="0" fillId="0" borderId="1" applyAlignment="1" pivotButton="0" quotePrefix="0" xfId="167">
      <alignment vertical="top"/>
    </xf>
    <xf numFmtId="1" fontId="4" fillId="0" borderId="1" applyAlignment="1" pivotButton="0" quotePrefix="0" xfId="168">
      <alignment vertical="top"/>
    </xf>
    <xf numFmtId="49" fontId="0" fillId="0" borderId="2" applyAlignment="1" pivotButton="0" quotePrefix="0" xfId="169">
      <alignment vertical="top"/>
    </xf>
    <xf numFmtId="49" fontId="0" fillId="3" borderId="2" applyAlignment="1" pivotButton="0" quotePrefix="0" xfId="170">
      <alignment vertical="top"/>
    </xf>
    <xf numFmtId="49" fontId="0" fillId="4" borderId="2" applyAlignment="1" pivotButton="0" quotePrefix="0" xfId="171">
      <alignment vertical="top"/>
    </xf>
    <xf numFmtId="49" fontId="0" fillId="5" borderId="2" applyAlignment="1" pivotButton="0" quotePrefix="0" xfId="172">
      <alignment vertical="top"/>
    </xf>
    <xf numFmtId="49" fontId="0" fillId="6" borderId="2" applyAlignment="1" pivotButton="0" quotePrefix="0" xfId="173">
      <alignment vertical="top"/>
    </xf>
    <xf numFmtId="49" fontId="0" fillId="7" borderId="2" applyAlignment="1" pivotButton="0" quotePrefix="0" xfId="174">
      <alignment vertical="top"/>
    </xf>
    <xf numFmtId="49" fontId="0" fillId="8" borderId="2" applyAlignment="1" pivotButton="0" quotePrefix="0" xfId="175">
      <alignment vertical="top"/>
    </xf>
    <xf numFmtId="49" fontId="0" fillId="9" borderId="2" applyAlignment="1" pivotButton="0" quotePrefix="0" xfId="176">
      <alignment vertical="top"/>
    </xf>
    <xf numFmtId="49" fontId="4" fillId="0" borderId="2" applyAlignment="1" pivotButton="0" quotePrefix="0" xfId="177">
      <alignment vertical="top"/>
    </xf>
    <xf numFmtId="49" fontId="4" fillId="3" borderId="2" applyAlignment="1" pivotButton="0" quotePrefix="0" xfId="178">
      <alignment vertical="top"/>
    </xf>
    <xf numFmtId="49" fontId="4" fillId="4" borderId="2" applyAlignment="1" pivotButton="0" quotePrefix="0" xfId="179">
      <alignment vertical="top"/>
    </xf>
    <xf numFmtId="49" fontId="4" fillId="5" borderId="2" applyAlignment="1" pivotButton="0" quotePrefix="0" xfId="180">
      <alignment vertical="top"/>
    </xf>
    <xf numFmtId="49" fontId="4" fillId="6" borderId="2" applyAlignment="1" pivotButton="0" quotePrefix="0" xfId="181">
      <alignment vertical="top"/>
    </xf>
    <xf numFmtId="49" fontId="4" fillId="7" borderId="2" applyAlignment="1" pivotButton="0" quotePrefix="0" xfId="182">
      <alignment vertical="top"/>
    </xf>
    <xf numFmtId="49" fontId="4" fillId="8" borderId="2" applyAlignment="1" pivotButton="0" quotePrefix="0" xfId="183">
      <alignment vertical="top"/>
    </xf>
    <xf numFmtId="49" fontId="4" fillId="9" borderId="2" applyAlignment="1" pivotButton="0" quotePrefix="0" xfId="184">
      <alignment vertical="top"/>
    </xf>
    <xf numFmtId="49" fontId="4" fillId="0" borderId="1" applyAlignment="1" pivotButton="0" quotePrefix="0" xfId="185">
      <alignment vertical="top"/>
    </xf>
    <xf numFmtId="49" fontId="0" fillId="0" borderId="2" applyAlignment="1" pivotButton="0" quotePrefix="0" xfId="186">
      <alignment vertical="top" wrapText="1"/>
    </xf>
    <xf numFmtId="49" fontId="0" fillId="3" borderId="2" applyAlignment="1" pivotButton="0" quotePrefix="0" xfId="187">
      <alignment vertical="top" wrapText="1"/>
    </xf>
    <xf numFmtId="49" fontId="0" fillId="4" borderId="2" applyAlignment="1" pivotButton="0" quotePrefix="0" xfId="188">
      <alignment vertical="top" wrapText="1"/>
    </xf>
    <xf numFmtId="49" fontId="0" fillId="5" borderId="2" applyAlignment="1" pivotButton="0" quotePrefix="0" xfId="189">
      <alignment vertical="top" wrapText="1"/>
    </xf>
    <xf numFmtId="49" fontId="0" fillId="6" borderId="2" applyAlignment="1" pivotButton="0" quotePrefix="0" xfId="190">
      <alignment vertical="top" wrapText="1"/>
    </xf>
    <xf numFmtId="49" fontId="0" fillId="7" borderId="2" applyAlignment="1" pivotButton="0" quotePrefix="0" xfId="191">
      <alignment vertical="top" wrapText="1"/>
    </xf>
    <xf numFmtId="49" fontId="0" fillId="8" borderId="2" applyAlignment="1" pivotButton="0" quotePrefix="0" xfId="192">
      <alignment vertical="top" wrapText="1"/>
    </xf>
    <xf numFmtId="49" fontId="0" fillId="9" borderId="2" applyAlignment="1" pivotButton="0" quotePrefix="0" xfId="193">
      <alignment vertical="top" wrapText="1"/>
    </xf>
    <xf numFmtId="49" fontId="4" fillId="0" borderId="2" applyAlignment="1" pivotButton="0" quotePrefix="0" xfId="194">
      <alignment vertical="top" wrapText="1"/>
    </xf>
    <xf numFmtId="49" fontId="4" fillId="3" borderId="2" applyAlignment="1" pivotButton="0" quotePrefix="0" xfId="195">
      <alignment vertical="top" wrapText="1"/>
    </xf>
    <xf numFmtId="49" fontId="4" fillId="4" borderId="2" applyAlignment="1" pivotButton="0" quotePrefix="0" xfId="196">
      <alignment vertical="top" wrapText="1"/>
    </xf>
    <xf numFmtId="49" fontId="4" fillId="5" borderId="2" applyAlignment="1" pivotButton="0" quotePrefix="0" xfId="197">
      <alignment vertical="top" wrapText="1"/>
    </xf>
    <xf numFmtId="49" fontId="4" fillId="6" borderId="2" applyAlignment="1" pivotButton="0" quotePrefix="0" xfId="198">
      <alignment vertical="top" wrapText="1"/>
    </xf>
    <xf numFmtId="49" fontId="4" fillId="7" borderId="2" applyAlignment="1" pivotButton="0" quotePrefix="0" xfId="199">
      <alignment vertical="top" wrapText="1"/>
    </xf>
    <xf numFmtId="49" fontId="4" fillId="8" borderId="2" applyAlignment="1" pivotButton="0" quotePrefix="0" xfId="200">
      <alignment vertical="top" wrapText="1"/>
    </xf>
    <xf numFmtId="49" fontId="4" fillId="9" borderId="2" applyAlignment="1" pivotButton="0" quotePrefix="0" xfId="201">
      <alignment vertical="top" wrapText="1"/>
    </xf>
    <xf numFmtId="1" fontId="0" fillId="0" borderId="2" applyAlignment="1" pivotButton="0" quotePrefix="0" xfId="202">
      <alignment vertical="top" wrapText="1"/>
    </xf>
    <xf numFmtId="1" fontId="0" fillId="3" borderId="2" applyAlignment="1" pivotButton="0" quotePrefix="0" xfId="203">
      <alignment vertical="top" wrapText="1"/>
    </xf>
    <xf numFmtId="1" fontId="0" fillId="4" borderId="2" applyAlignment="1" pivotButton="0" quotePrefix="0" xfId="204">
      <alignment vertical="top" wrapText="1"/>
    </xf>
    <xf numFmtId="1" fontId="0" fillId="5" borderId="2" applyAlignment="1" pivotButton="0" quotePrefix="0" xfId="205">
      <alignment vertical="top" wrapText="1"/>
    </xf>
    <xf numFmtId="1" fontId="0" fillId="6" borderId="2" applyAlignment="1" pivotButton="0" quotePrefix="0" xfId="206">
      <alignment vertical="top" wrapText="1"/>
    </xf>
    <xf numFmtId="1" fontId="0" fillId="7" borderId="2" applyAlignment="1" pivotButton="0" quotePrefix="0" xfId="207">
      <alignment vertical="top" wrapText="1"/>
    </xf>
    <xf numFmtId="1" fontId="0" fillId="8" borderId="2" applyAlignment="1" pivotButton="0" quotePrefix="0" xfId="208">
      <alignment vertical="top" wrapText="1"/>
    </xf>
    <xf numFmtId="1" fontId="0" fillId="9" borderId="2" applyAlignment="1" pivotButton="0" quotePrefix="0" xfId="209">
      <alignment vertical="top" wrapText="1"/>
    </xf>
    <xf numFmtId="1" fontId="4" fillId="0" borderId="2" applyAlignment="1" pivotButton="0" quotePrefix="0" xfId="210">
      <alignment vertical="top" wrapText="1"/>
    </xf>
    <xf numFmtId="1" fontId="4" fillId="3" borderId="2" applyAlignment="1" pivotButton="0" quotePrefix="0" xfId="211">
      <alignment vertical="top" wrapText="1"/>
    </xf>
    <xf numFmtId="1" fontId="4" fillId="4" borderId="2" applyAlignment="1" pivotButton="0" quotePrefix="0" xfId="212">
      <alignment vertical="top" wrapText="1"/>
    </xf>
    <xf numFmtId="1" fontId="4" fillId="5" borderId="2" applyAlignment="1" pivotButton="0" quotePrefix="0" xfId="213">
      <alignment vertical="top" wrapText="1"/>
    </xf>
    <xf numFmtId="1" fontId="4" fillId="6" borderId="2" applyAlignment="1" pivotButton="0" quotePrefix="0" xfId="214">
      <alignment vertical="top" wrapText="1"/>
    </xf>
    <xf numFmtId="1" fontId="4" fillId="7" borderId="2" applyAlignment="1" pivotButton="0" quotePrefix="0" xfId="215">
      <alignment vertical="top" wrapText="1"/>
    </xf>
    <xf numFmtId="1" fontId="4" fillId="8" borderId="2" applyAlignment="1" pivotButton="0" quotePrefix="0" xfId="216">
      <alignment vertical="top" wrapText="1"/>
    </xf>
    <xf numFmtId="1" fontId="4" fillId="9" borderId="2" applyAlignment="1" pivotButton="0" quotePrefix="0" xfId="217">
      <alignment vertical="top" wrapText="1"/>
    </xf>
    <xf numFmtId="49" fontId="0" fillId="0" borderId="2" applyAlignment="1" pivotButton="0" quotePrefix="0" xfId="218">
      <alignment vertical="top" wrapText="1"/>
    </xf>
    <xf numFmtId="49" fontId="0" fillId="3" borderId="2" applyAlignment="1" pivotButton="0" quotePrefix="0" xfId="219">
      <alignment vertical="top" wrapText="1"/>
    </xf>
    <xf numFmtId="49" fontId="0" fillId="4" borderId="2" applyAlignment="1" pivotButton="0" quotePrefix="0" xfId="220">
      <alignment vertical="top" wrapText="1"/>
    </xf>
    <xf numFmtId="49" fontId="0" fillId="5" borderId="2" applyAlignment="1" pivotButton="0" quotePrefix="0" xfId="221">
      <alignment vertical="top" wrapText="1"/>
    </xf>
    <xf numFmtId="49" fontId="0" fillId="6" borderId="2" applyAlignment="1" pivotButton="0" quotePrefix="0" xfId="222">
      <alignment vertical="top" wrapText="1"/>
    </xf>
    <xf numFmtId="49" fontId="0" fillId="7" borderId="2" applyAlignment="1" pivotButton="0" quotePrefix="0" xfId="223">
      <alignment vertical="top" wrapText="1"/>
    </xf>
    <xf numFmtId="49" fontId="0" fillId="8" borderId="2" applyAlignment="1" pivotButton="0" quotePrefix="0" xfId="224">
      <alignment vertical="top" wrapText="1"/>
    </xf>
    <xf numFmtId="49" fontId="0" fillId="9" borderId="2" applyAlignment="1" pivotButton="0" quotePrefix="0" xfId="225">
      <alignment vertical="top" wrapText="1"/>
    </xf>
    <xf numFmtId="49" fontId="4" fillId="0" borderId="2" applyAlignment="1" pivotButton="0" quotePrefix="0" xfId="226">
      <alignment vertical="top" wrapText="1"/>
    </xf>
    <xf numFmtId="49" fontId="4" fillId="3" borderId="2" applyAlignment="1" pivotButton="0" quotePrefix="0" xfId="227">
      <alignment vertical="top" wrapText="1"/>
    </xf>
    <xf numFmtId="49" fontId="4" fillId="4" borderId="2" applyAlignment="1" pivotButton="0" quotePrefix="0" xfId="228">
      <alignment vertical="top" wrapText="1"/>
    </xf>
    <xf numFmtId="49" fontId="4" fillId="5" borderId="2" applyAlignment="1" pivotButton="0" quotePrefix="0" xfId="229">
      <alignment vertical="top" wrapText="1"/>
    </xf>
    <xf numFmtId="49" fontId="4" fillId="6" borderId="2" applyAlignment="1" pivotButton="0" quotePrefix="0" xfId="230">
      <alignment vertical="top" wrapText="1"/>
    </xf>
    <xf numFmtId="49" fontId="4" fillId="7" borderId="2" applyAlignment="1" pivotButton="0" quotePrefix="0" xfId="231">
      <alignment vertical="top" wrapText="1"/>
    </xf>
    <xf numFmtId="49" fontId="4" fillId="8" borderId="2" applyAlignment="1" pivotButton="0" quotePrefix="0" xfId="232">
      <alignment vertical="top" wrapText="1"/>
    </xf>
    <xf numFmtId="49" fontId="4" fillId="9" borderId="2" applyAlignment="1" pivotButton="0" quotePrefix="0" xfId="233">
      <alignment vertical="top" wrapText="1"/>
    </xf>
    <xf numFmtId="49" fontId="0" fillId="0" borderId="2" applyAlignment="1" pivotButton="0" quotePrefix="0" xfId="234">
      <alignment vertical="top" wrapText="1"/>
    </xf>
    <xf numFmtId="49" fontId="0" fillId="3" borderId="2" applyAlignment="1" pivotButton="0" quotePrefix="0" xfId="235">
      <alignment vertical="top" wrapText="1"/>
    </xf>
    <xf numFmtId="49" fontId="0" fillId="4" borderId="2" applyAlignment="1" pivotButton="0" quotePrefix="0" xfId="236">
      <alignment vertical="top" wrapText="1"/>
    </xf>
    <xf numFmtId="49" fontId="0" fillId="5" borderId="2" applyAlignment="1" pivotButton="0" quotePrefix="0" xfId="237">
      <alignment vertical="top" wrapText="1"/>
    </xf>
    <xf numFmtId="49" fontId="0" fillId="6" borderId="2" applyAlignment="1" pivotButton="0" quotePrefix="0" xfId="238">
      <alignment vertical="top" wrapText="1"/>
    </xf>
    <xf numFmtId="49" fontId="0" fillId="7" borderId="2" applyAlignment="1" pivotButton="0" quotePrefix="0" xfId="239">
      <alignment vertical="top" wrapText="1"/>
    </xf>
    <xf numFmtId="49" fontId="0" fillId="8" borderId="2" applyAlignment="1" pivotButton="0" quotePrefix="0" xfId="240">
      <alignment vertical="top" wrapText="1"/>
    </xf>
    <xf numFmtId="49" fontId="0" fillId="9" borderId="2" applyAlignment="1" pivotButton="0" quotePrefix="0" xfId="241">
      <alignment vertical="top" wrapText="1"/>
    </xf>
    <xf numFmtId="49" fontId="4" fillId="0" borderId="2" applyAlignment="1" pivotButton="0" quotePrefix="0" xfId="242">
      <alignment vertical="top" wrapText="1"/>
    </xf>
    <xf numFmtId="49" fontId="4" fillId="3" borderId="2" applyAlignment="1" pivotButton="0" quotePrefix="0" xfId="243">
      <alignment vertical="top" wrapText="1"/>
    </xf>
    <xf numFmtId="49" fontId="4" fillId="4" borderId="2" applyAlignment="1" pivotButton="0" quotePrefix="0" xfId="244">
      <alignment vertical="top" wrapText="1"/>
    </xf>
    <xf numFmtId="49" fontId="4" fillId="5" borderId="2" applyAlignment="1" pivotButton="0" quotePrefix="0" xfId="245">
      <alignment vertical="top" wrapText="1"/>
    </xf>
    <xf numFmtId="49" fontId="4" fillId="6" borderId="2" applyAlignment="1" pivotButton="0" quotePrefix="0" xfId="246">
      <alignment vertical="top" wrapText="1"/>
    </xf>
    <xf numFmtId="49" fontId="4" fillId="7" borderId="2" applyAlignment="1" pivotButton="0" quotePrefix="0" xfId="247">
      <alignment vertical="top" wrapText="1"/>
    </xf>
    <xf numFmtId="49" fontId="4" fillId="8" borderId="2" applyAlignment="1" pivotButton="0" quotePrefix="0" xfId="248">
      <alignment vertical="top" wrapText="1"/>
    </xf>
    <xf numFmtId="49" fontId="4" fillId="9" borderId="2" applyAlignment="1" pivotButton="0" quotePrefix="0" xfId="249">
      <alignment vertical="top" wrapText="1"/>
    </xf>
  </cellXfs>
  <cellStyles count="250">
    <cellStyle name="Normal" xfId="0" builtinId="0" hidden="0"/>
    <cellStyle name="Export header" xfId="1" hidden="0"/>
    <cellStyle name="Export header bordered" xfId="2" hidden="0"/>
    <cellStyle name="Export title" xfId="3" hidden="0"/>
    <cellStyle name="Export note" xfId="4" hidden="0"/>
    <cellStyle name="Export paragraph body" xfId="5" hidden="0"/>
    <cellStyle name="Export paragraph note" xfId="6" hidden="0"/>
    <cellStyle name="Export body ref" xfId="7" hidden="0"/>
    <cellStyle name="Export fill priority_a ref" xfId="8" hidden="0"/>
    <cellStyle name="Export fill priority_b ref" xfId="9" hidden="0"/>
    <cellStyle name="Export fill priority_c ref" xfId="10" hidden="0"/>
    <cellStyle name="Export fill rank_a ref" xfId="11" hidden="0"/>
    <cellStyle name="Export fill rank_b ref" xfId="12" hidden="0"/>
    <cellStyle name="Export fill rank_c ref" xfId="13" hidden="0"/>
    <cellStyle name="Export fill new_row ref" xfId="14" hidden="0"/>
    <cellStyle name="Export body ref bold" xfId="15" hidden="0"/>
    <cellStyle name="Export fill priority_a ref bold" xfId="16" hidden="0"/>
    <cellStyle name="Export fill priority_b ref bold" xfId="17" hidden="0"/>
    <cellStyle name="Export fill priority_c ref bold" xfId="18" hidden="0"/>
    <cellStyle name="Export fill rank_a ref bold" xfId="19" hidden="0"/>
    <cellStyle name="Export fill rank_b ref bold" xfId="20" hidden="0"/>
    <cellStyle name="Export fill rank_c ref bold" xfId="21" hidden="0"/>
    <cellStyle name="Export fill new_row ref bold" xfId="22" hidden="0"/>
    <cellStyle name="Export body code" xfId="23" hidden="0"/>
    <cellStyle name="Export fill priority_a code" xfId="24" hidden="0"/>
    <cellStyle name="Export fill priority_b code" xfId="25" hidden="0"/>
    <cellStyle name="Export fill priority_c code" xfId="26" hidden="0"/>
    <cellStyle name="Export fill rank_a code" xfId="27" hidden="0"/>
    <cellStyle name="Export fill rank_b code" xfId="28" hidden="0"/>
    <cellStyle name="Export fill rank_c code" xfId="29" hidden="0"/>
    <cellStyle name="Export fill new_row code" xfId="30" hidden="0"/>
    <cellStyle name="Export body code bold" xfId="31" hidden="0"/>
    <cellStyle name="Export fill priority_a code bold" xfId="32" hidden="0"/>
    <cellStyle name="Export fill priority_b code bold" xfId="33" hidden="0"/>
    <cellStyle name="Export fill priority_c code bold" xfId="34" hidden="0"/>
    <cellStyle name="Export fill rank_a code bold" xfId="35" hidden="0"/>
    <cellStyle name="Export fill rank_b code bold" xfId="36" hidden="0"/>
    <cellStyle name="Export fill rank_c code bold" xfId="37" hidden="0"/>
    <cellStyle name="Export fill new_row code bold" xfId="38" hidden="0"/>
    <cellStyle name="Export body label" xfId="39" hidden="0"/>
    <cellStyle name="Export fill priority_a label" xfId="40" hidden="0"/>
    <cellStyle name="Export fill priority_b label" xfId="41" hidden="0"/>
    <cellStyle name="Export fill priority_c label" xfId="42" hidden="0"/>
    <cellStyle name="Export fill rank_a label" xfId="43" hidden="0"/>
    <cellStyle name="Export fill rank_b label" xfId="44" hidden="0"/>
    <cellStyle name="Export fill rank_c label" xfId="45" hidden="0"/>
    <cellStyle name="Export fill new_row label" xfId="46" hidden="0"/>
    <cellStyle name="Export body label bold" xfId="47" hidden="0"/>
    <cellStyle name="Export fill priority_a label bold" xfId="48" hidden="0"/>
    <cellStyle name="Export fill priority_b label bold" xfId="49" hidden="0"/>
    <cellStyle name="Export fill priority_c label bold" xfId="50" hidden="0"/>
    <cellStyle name="Export fill rank_a label bold" xfId="51" hidden="0"/>
    <cellStyle name="Export fill rank_b label bold" xfId="52" hidden="0"/>
    <cellStyle name="Export fill rank_c label bold" xfId="53" hidden="0"/>
    <cellStyle name="Export fill new_row label bold" xfId="54" hidden="0"/>
    <cellStyle name="Export body text_short" xfId="55" hidden="0"/>
    <cellStyle name="Export fill priority_a text_short" xfId="56" hidden="0"/>
    <cellStyle name="Export fill priority_b text_short" xfId="57" hidden="0"/>
    <cellStyle name="Export fill priority_c text_short" xfId="58" hidden="0"/>
    <cellStyle name="Export fill rank_a text_short" xfId="59" hidden="0"/>
    <cellStyle name="Export fill rank_b text_short" xfId="60" hidden="0"/>
    <cellStyle name="Export fill rank_c text_short" xfId="61" hidden="0"/>
    <cellStyle name="Export fill new_row text_short" xfId="62" hidden="0"/>
    <cellStyle name="Export body text_short bold" xfId="63" hidden="0"/>
    <cellStyle name="Export fill priority_a text_short bold" xfId="64" hidden="0"/>
    <cellStyle name="Export fill priority_b text_short bold" xfId="65" hidden="0"/>
    <cellStyle name="Export fill priority_c text_short bold" xfId="66" hidden="0"/>
    <cellStyle name="Export fill rank_a text_short bold" xfId="67" hidden="0"/>
    <cellStyle name="Export fill rank_b text_short bold" xfId="68" hidden="0"/>
    <cellStyle name="Export fill rank_c text_short bold" xfId="69" hidden="0"/>
    <cellStyle name="Export fill new_row text_short bold" xfId="70" hidden="0"/>
    <cellStyle name="Export body text_long" xfId="71" hidden="0"/>
    <cellStyle name="Export fill priority_a text_long" xfId="72" hidden="0"/>
    <cellStyle name="Export fill priority_b text_long" xfId="73" hidden="0"/>
    <cellStyle name="Export fill priority_c text_long" xfId="74" hidden="0"/>
    <cellStyle name="Export fill rank_a text_long" xfId="75" hidden="0"/>
    <cellStyle name="Export fill rank_b text_long" xfId="76" hidden="0"/>
    <cellStyle name="Export fill rank_c text_long" xfId="77" hidden="0"/>
    <cellStyle name="Export fill new_row text_long" xfId="78" hidden="0"/>
    <cellStyle name="Export body text_long bold" xfId="79" hidden="0"/>
    <cellStyle name="Export fill priority_a text_long bold" xfId="80" hidden="0"/>
    <cellStyle name="Export fill priority_b text_long bold" xfId="81" hidden="0"/>
    <cellStyle name="Export fill priority_c text_long bold" xfId="82" hidden="0"/>
    <cellStyle name="Export fill rank_a text_long bold" xfId="83" hidden="0"/>
    <cellStyle name="Export fill rank_b text_long bold" xfId="84" hidden="0"/>
    <cellStyle name="Export fill rank_c text_long bold" xfId="85" hidden="0"/>
    <cellStyle name="Export fill new_row text_long bold" xfId="86" hidden="0"/>
    <cellStyle name="Export body url" xfId="87" hidden="0"/>
    <cellStyle name="Export fill priority_a url" xfId="88" hidden="0"/>
    <cellStyle name="Export fill priority_b url" xfId="89" hidden="0"/>
    <cellStyle name="Export fill priority_c url" xfId="90" hidden="0"/>
    <cellStyle name="Export fill rank_a url" xfId="91" hidden="0"/>
    <cellStyle name="Export fill rank_b url" xfId="92" hidden="0"/>
    <cellStyle name="Export fill rank_c url" xfId="93" hidden="0"/>
    <cellStyle name="Export fill new_row url" xfId="94" hidden="0"/>
    <cellStyle name="Export body url bold" xfId="95" hidden="0"/>
    <cellStyle name="Export fill priority_a url bold" xfId="96" hidden="0"/>
    <cellStyle name="Export fill priority_b url bold" xfId="97" hidden="0"/>
    <cellStyle name="Export fill priority_c url bold" xfId="98" hidden="0"/>
    <cellStyle name="Export fill rank_a url bold" xfId="99" hidden="0"/>
    <cellStyle name="Export fill rank_b url bold" xfId="100" hidden="0"/>
    <cellStyle name="Export fill rank_c url bold" xfId="101" hidden="0"/>
    <cellStyle name="Export fill new_row url bold" xfId="102" hidden="0"/>
    <cellStyle name="Export body date" xfId="103" hidden="0"/>
    <cellStyle name="Export fill priority_a date" xfId="104" hidden="0"/>
    <cellStyle name="Export fill priority_b date" xfId="105" hidden="0"/>
    <cellStyle name="Export fill priority_c date" xfId="106" hidden="0"/>
    <cellStyle name="Export fill rank_a date" xfId="107" hidden="0"/>
    <cellStyle name="Export fill rank_b date" xfId="108" hidden="0"/>
    <cellStyle name="Export fill rank_c date" xfId="109" hidden="0"/>
    <cellStyle name="Export fill new_row date" xfId="110" hidden="0"/>
    <cellStyle name="Export body date bold" xfId="111" hidden="0"/>
    <cellStyle name="Export fill priority_a date bold" xfId="112" hidden="0"/>
    <cellStyle name="Export fill priority_b date bold" xfId="113" hidden="0"/>
    <cellStyle name="Export fill priority_c date bold" xfId="114" hidden="0"/>
    <cellStyle name="Export fill rank_a date bold" xfId="115" hidden="0"/>
    <cellStyle name="Export fill rank_b date bold" xfId="116" hidden="0"/>
    <cellStyle name="Export fill rank_c date bold" xfId="117" hidden="0"/>
    <cellStyle name="Export fill new_row date bold" xfId="118" hidden="0"/>
    <cellStyle name="Export body count" xfId="119" hidden="0"/>
    <cellStyle name="Export fill priority_a count" xfId="120" hidden="0"/>
    <cellStyle name="Export fill priority_b count" xfId="121" hidden="0"/>
    <cellStyle name="Export fill priority_c count" xfId="122" hidden="0"/>
    <cellStyle name="Export fill rank_a count" xfId="123" hidden="0"/>
    <cellStyle name="Export fill rank_b count" xfId="124" hidden="0"/>
    <cellStyle name="Export fill rank_c count" xfId="125" hidden="0"/>
    <cellStyle name="Export fill new_row count" xfId="126" hidden="0"/>
    <cellStyle name="Export body count bold" xfId="127" hidden="0"/>
    <cellStyle name="Export fill priority_a count bold" xfId="128" hidden="0"/>
    <cellStyle name="Export fill priority_b count bold" xfId="129" hidden="0"/>
    <cellStyle name="Export fill priority_c count bold" xfId="130" hidden="0"/>
    <cellStyle name="Export fill rank_a count bold" xfId="131" hidden="0"/>
    <cellStyle name="Export fill rank_b count bold" xfId="132" hidden="0"/>
    <cellStyle name="Export fill rank_c count bold" xfId="133" hidden="0"/>
    <cellStyle name="Export fill new_row count bold" xfId="134" hidden="0"/>
    <cellStyle name="Export body percent" xfId="135" hidden="0"/>
    <cellStyle name="Export fill priority_a percent" xfId="136" hidden="0"/>
    <cellStyle name="Export fill priority_b percent" xfId="137" hidden="0"/>
    <cellStyle name="Export fill priority_c percent" xfId="138" hidden="0"/>
    <cellStyle name="Export fill rank_a percent" xfId="139" hidden="0"/>
    <cellStyle name="Export fill rank_b percent" xfId="140" hidden="0"/>
    <cellStyle name="Export fill rank_c percent" xfId="141" hidden="0"/>
    <cellStyle name="Export fill new_row percent" xfId="142" hidden="0"/>
    <cellStyle name="Export body percent bold" xfId="143" hidden="0"/>
    <cellStyle name="Export fill priority_a percent bold" xfId="144" hidden="0"/>
    <cellStyle name="Export fill priority_b percent bold" xfId="145" hidden="0"/>
    <cellStyle name="Export fill priority_c percent bold" xfId="146" hidden="0"/>
    <cellStyle name="Export fill rank_a percent bold" xfId="147" hidden="0"/>
    <cellStyle name="Export fill rank_b percent bold" xfId="148" hidden="0"/>
    <cellStyle name="Export fill rank_c percent bold" xfId="149" hidden="0"/>
    <cellStyle name="Export fill new_row percent bold" xfId="150" hidden="0"/>
    <cellStyle name="Export link" xfId="151" hidden="0"/>
    <cellStyle name="Export link fill priority_a" xfId="152" hidden="0"/>
    <cellStyle name="Export link fill priority_b" xfId="153" hidden="0"/>
    <cellStyle name="Export link fill priority_c" xfId="154" hidden="0"/>
    <cellStyle name="Export link fill rank_a" xfId="155" hidden="0"/>
    <cellStyle name="Export link fill rank_b" xfId="156" hidden="0"/>
    <cellStyle name="Export link fill rank_c" xfId="157" hidden="0"/>
    <cellStyle name="Export link fill new_row" xfId="158" hidden="0"/>
    <cellStyle name="Export link bold" xfId="159" hidden="0"/>
    <cellStyle name="Export link bold fill priority_a" xfId="160" hidden="0"/>
    <cellStyle name="Export link bold fill priority_b" xfId="161" hidden="0"/>
    <cellStyle name="Export link bold fill priority_c" xfId="162" hidden="0"/>
    <cellStyle name="Export link bold fill rank_a" xfId="163" hidden="0"/>
    <cellStyle name="Export link bold fill rank_b" xfId="164" hidden="0"/>
    <cellStyle name="Export link bold fill rank_c" xfId="165" hidden="0"/>
    <cellStyle name="Export link bold fill new_row" xfId="166" hidden="0"/>
    <cellStyle name="Export plain label" xfId="167" hidden="0"/>
    <cellStyle name="Export plain count bold" xfId="168" hidden="0"/>
    <cellStyle name="Export body text_short nowrap" xfId="169" hidden="0"/>
    <cellStyle name="Export fill priority_a text_short nowrap" xfId="170" hidden="0"/>
    <cellStyle name="Export fill priority_b text_short nowrap" xfId="171" hidden="0"/>
    <cellStyle name="Export fill priority_c text_short nowrap" xfId="172" hidden="0"/>
    <cellStyle name="Export fill rank_a text_short nowrap" xfId="173" hidden="0"/>
    <cellStyle name="Export fill rank_b text_short nowrap" xfId="174" hidden="0"/>
    <cellStyle name="Export fill rank_c text_short nowrap" xfId="175" hidden="0"/>
    <cellStyle name="Export fill new_row text_short nowrap" xfId="176" hidden="0"/>
    <cellStyle name="Export body text_short nowrap bold" xfId="177" hidden="0"/>
    <cellStyle name="Export fill priority_a text_short nowrap bold" xfId="178" hidden="0"/>
    <cellStyle name="Export fill priority_b text_short nowrap bold" xfId="179" hidden="0"/>
    <cellStyle name="Export fill priority_c text_short nowrap bold" xfId="180" hidden="0"/>
    <cellStyle name="Export fill rank_a text_short nowrap bold" xfId="181" hidden="0"/>
    <cellStyle name="Export fill rank_b text_short nowrap bold" xfId="182" hidden="0"/>
    <cellStyle name="Export fill rank_c text_short nowrap bold" xfId="183" hidden="0"/>
    <cellStyle name="Export fill new_row text_short nowrap bold" xfId="184" hidden="0"/>
    <cellStyle name="Export plain label bold" xfId="185" hidden="0"/>
    <cellStyle name="Export body text_short wrap" xfId="186" hidden="0"/>
    <cellStyle name="Export fill priority_a text_short wrap" xfId="187" hidden="0"/>
    <cellStyle name="Export fill priority_b text_short wrap" xfId="188" hidden="0"/>
    <cellStyle name="Export fill priority_c text_short wrap" xfId="189" hidden="0"/>
    <cellStyle name="Export fill rank_a text_short wrap" xfId="190" hidden="0"/>
    <cellStyle name="Export fill rank_b text_short wrap" xfId="191" hidden="0"/>
    <cellStyle name="Export fill rank_c text_short wrap" xfId="192" hidden="0"/>
    <cellStyle name="Export fill new_row text_short wrap" xfId="193" hidden="0"/>
    <cellStyle name="Export body text_short wrap bold" xfId="194" hidden="0"/>
    <cellStyle name="Export fill priority_a text_short wrap bold" xfId="195" hidden="0"/>
    <cellStyle name="Export fill priority_b text_short wrap bold" xfId="196" hidden="0"/>
    <cellStyle name="Export fill priority_c text_short wrap bold" xfId="197" hidden="0"/>
    <cellStyle name="Export fill rank_a text_short wrap bold" xfId="198" hidden="0"/>
    <cellStyle name="Export fill rank_b text_short wrap bold" xfId="199" hidden="0"/>
    <cellStyle name="Export fill rank_c text_short wrap bold" xfId="200" hidden="0"/>
    <cellStyle name="Export fill new_row text_short wrap bold" xfId="201" hidden="0"/>
    <cellStyle name="Export body count wrap" xfId="202" hidden="0"/>
    <cellStyle name="Export fill priority_a count wrap" xfId="203" hidden="0"/>
    <cellStyle name="Export fill priority_b count wrap" xfId="204" hidden="0"/>
    <cellStyle name="Export fill priority_c count wrap" xfId="205" hidden="0"/>
    <cellStyle name="Export fill rank_a count wrap" xfId="206" hidden="0"/>
    <cellStyle name="Export fill rank_b count wrap" xfId="207" hidden="0"/>
    <cellStyle name="Export fill rank_c count wrap" xfId="208" hidden="0"/>
    <cellStyle name="Export fill new_row count wrap" xfId="209" hidden="0"/>
    <cellStyle name="Export body count wrap bold" xfId="210" hidden="0"/>
    <cellStyle name="Export fill priority_a count wrap bold" xfId="211" hidden="0"/>
    <cellStyle name="Export fill priority_b count wrap bold" xfId="212" hidden="0"/>
    <cellStyle name="Export fill priority_c count wrap bold" xfId="213" hidden="0"/>
    <cellStyle name="Export fill rank_a count wrap bold" xfId="214" hidden="0"/>
    <cellStyle name="Export fill rank_b count wrap bold" xfId="215" hidden="0"/>
    <cellStyle name="Export fill rank_c count wrap bold" xfId="216" hidden="0"/>
    <cellStyle name="Export fill new_row count wrap bold" xfId="217" hidden="0"/>
    <cellStyle name="Export body label wrap" xfId="218" hidden="0"/>
    <cellStyle name="Export fill priority_a label wrap" xfId="219" hidden="0"/>
    <cellStyle name="Export fill priority_b label wrap" xfId="220" hidden="0"/>
    <cellStyle name="Export fill priority_c label wrap" xfId="221" hidden="0"/>
    <cellStyle name="Export fill rank_a label wrap" xfId="222" hidden="0"/>
    <cellStyle name="Export fill rank_b label wrap" xfId="223" hidden="0"/>
    <cellStyle name="Export fill rank_c label wrap" xfId="224" hidden="0"/>
    <cellStyle name="Export fill new_row label wrap" xfId="225" hidden="0"/>
    <cellStyle name="Export body label wrap bold" xfId="226" hidden="0"/>
    <cellStyle name="Export fill priority_a label wrap bold" xfId="227" hidden="0"/>
    <cellStyle name="Export fill priority_b label wrap bold" xfId="228" hidden="0"/>
    <cellStyle name="Export fill priority_c label wrap bold" xfId="229" hidden="0"/>
    <cellStyle name="Export fill rank_a label wrap bold" xfId="230" hidden="0"/>
    <cellStyle name="Export fill rank_b label wrap bold" xfId="231" hidden="0"/>
    <cellStyle name="Export fill rank_c label wrap bold" xfId="232" hidden="0"/>
    <cellStyle name="Export fill new_row label wrap bold" xfId="233" hidden="0"/>
    <cellStyle name="Export body text_long wrap" xfId="234" hidden="0"/>
    <cellStyle name="Export fill priority_a text_long wrap" xfId="235" hidden="0"/>
    <cellStyle name="Export fill priority_b text_long wrap" xfId="236" hidden="0"/>
    <cellStyle name="Export fill priority_c text_long wrap" xfId="237" hidden="0"/>
    <cellStyle name="Export fill rank_a text_long wrap" xfId="238" hidden="0"/>
    <cellStyle name="Export fill rank_b text_long wrap" xfId="239" hidden="0"/>
    <cellStyle name="Export fill rank_c text_long wrap" xfId="240" hidden="0"/>
    <cellStyle name="Export fill new_row text_long wrap" xfId="241" hidden="0"/>
    <cellStyle name="Export body text_long wrap bold" xfId="242" hidden="0"/>
    <cellStyle name="Export fill priority_a text_long wrap bold" xfId="243" hidden="0"/>
    <cellStyle name="Export fill priority_b text_long wrap bold" xfId="244" hidden="0"/>
    <cellStyle name="Export fill priority_c text_long wrap bold" xfId="245" hidden="0"/>
    <cellStyle name="Export fill rank_a text_long wrap bold" xfId="246" hidden="0"/>
    <cellStyle name="Export fill rank_b text_long wrap bold" xfId="247" hidden="0"/>
    <cellStyle name="Export fill rank_c text_long wrap bold" xfId="248" hidden="0"/>
    <cellStyle name="Export fill new_row text_long wrap bold" xfId="249" hidden="0"/>
  </cellStyles>
  <dxfs count="3">
    <dxf>
      <fill>
        <patternFill patternType="solid">
          <fgColor rgb="00C6EFCE"/>
          <bgColor rgb="00C6EFCE"/>
        </patternFill>
      </fill>
    </dxf>
    <dxf>
      <fill>
        <patternFill patternType="solid">
          <fgColor rgb="00FFEB9C"/>
          <bgColor rgb="00FFEB9C"/>
        </patternFill>
      </fill>
    </dxf>
    <dxf>
      <fill>
        <patternFill patternType="solid">
          <fgColor rgb="00E7E6E6"/>
          <b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22"/>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26" customWidth="1" min="3" max="3"/>
    <col width="22" customWidth="1" min="4" max="4"/>
    <col width="12" customWidth="1" min="5" max="5"/>
    <col width="10" customWidth="1" min="6" max="6"/>
    <col width="10" customWidth="1" min="7" max="7"/>
    <col width="12" customWidth="1" min="8" max="8"/>
    <col width="14" customWidth="1" min="9" max="9"/>
    <col width="14" customWidth="1" min="10" max="10"/>
  </cols>
  <sheetData>
    <row r="1" ht="18" customHeight="1">
      <c r="A1" s="3" t="inlineStr">
        <is>
          <t>Orion Systems: platforms seen in job postings, ranked A, B, C</t>
        </is>
      </c>
    </row>
    <row r="2">
      <c r="A2" s="167" t="inlineStr">
        <is>
          <t>Postings in the last 12 months that name at least one platform (the base):</t>
        </is>
      </c>
      <c r="F2" s="168" t="n">
        <v>5</v>
      </c>
    </row>
    <row r="3" ht="23.4" customHeight="1">
      <c r="A3" s="6" t="inlineStr">
        <is>
          <t>How the rank is set. A: named in 15 percent or more of the base and in at least 5 postings. B: named in 5 percent or more of the base and in at least 3 postings. C: named in at least 2 postings. Platforms named in one posting are listed under Seen once.</t>
        </is>
      </c>
    </row>
    <row r="4" ht="23.4" customHeight="1">
      <c r="A4" s="6" t="inlineStr">
        <is>
          <t>Each posting counts once per platform, however many times it names it. Open and closed postings both count. The window is by posting date, else first seen; a posting with no date counts.</t>
        </is>
      </c>
    </row>
    <row r="5" ht="23.4" customHeight="1">
      <c r="A5" s="6" t="inlineStr">
        <is>
          <t>A platform named in hiring is a signal of skills the account wants, not proof the platform runs in production. The column In confirmed stack shows whether the separate stack pull also shows it.</t>
        </is>
      </c>
    </row>
    <row r="6" ht="11.7" customHeight="1">
      <c r="A6" s="6" t="inlineStr">
        <is>
          <t>Research by 6th agents. Ranks are formulas on the counts, so a corrected count updates the rank.</t>
        </is>
      </c>
    </row>
    <row r="8" ht="45" customHeight="1">
      <c r="A8" s="1" t="inlineStr">
        <is>
          <t>Rank</t>
        </is>
      </c>
      <c r="B8" s="1" t="inlineStr">
        <is>
          <t>Platform</t>
        </is>
      </c>
      <c r="C8" s="1" t="inlineStr">
        <is>
          <t>Category</t>
        </is>
      </c>
      <c r="D8" s="1" t="inlineStr">
        <is>
          <t>Lane</t>
        </is>
      </c>
      <c r="E8" s="1" t="inlineStr">
        <is>
          <t>Postings naming it</t>
        </is>
      </c>
      <c r="F8" s="1" t="inlineStr">
        <is>
          <t>Share of base</t>
        </is>
      </c>
      <c r="G8" s="1" t="inlineStr">
        <is>
          <t>Open now</t>
        </is>
      </c>
      <c r="H8" s="1" t="inlineStr">
        <is>
          <t>Last seen</t>
        </is>
      </c>
      <c r="I8" s="1" t="inlineStr">
        <is>
          <t>In confirmed stack</t>
        </is>
      </c>
      <c r="J8" s="1" t="inlineStr">
        <is>
          <t>Matches checked by reading</t>
        </is>
      </c>
    </row>
    <row r="9">
      <c r="A9" s="53">
        <f>IF(AND(F9&gt;=0.15,E9&gt;=5),"A",IF(AND(F9&gt;=0.05,E9&gt;=3),"B",IF(E9&gt;=2,"C","")))</f>
        <v/>
      </c>
      <c r="B9" s="169" t="inlineStr">
        <is>
          <t>Snowflake</t>
        </is>
      </c>
      <c r="C9" s="39" t="inlineStr">
        <is>
          <t>Data platform</t>
        </is>
      </c>
      <c r="D9" s="39" t="inlineStr">
        <is>
          <t>Data and AI</t>
        </is>
      </c>
      <c r="E9" s="119" t="n">
        <v>2</v>
      </c>
      <c r="F9" s="135">
        <f>IF($F$2=0,0,E9/$F$2)</f>
        <v/>
      </c>
      <c r="G9" s="119" t="n">
        <v>1</v>
      </c>
      <c r="H9" s="39" t="inlineStr">
        <is>
          <t>2026-10-28</t>
        </is>
      </c>
      <c r="I9" s="39" t="inlineStr">
        <is>
          <t>Not pulled</t>
        </is>
      </c>
      <c r="J9" s="39" t="inlineStr">
        <is>
          <t>Yes</t>
        </is>
      </c>
    </row>
    <row r="11">
      <c r="A11" s="185" t="inlineStr">
        <is>
          <t>Counts</t>
        </is>
      </c>
    </row>
    <row r="12">
      <c r="A12" s="167" t="inlineStr">
        <is>
          <t>Rank A</t>
        </is>
      </c>
      <c r="B12" s="119">
        <f>COUNTIF($A$9:$A$9,"A")</f>
        <v/>
      </c>
    </row>
    <row r="13">
      <c r="A13" s="167" t="inlineStr">
        <is>
          <t>Rank B</t>
        </is>
      </c>
      <c r="B13" s="119">
        <f>COUNTIF($A$9:$A$9,"B")</f>
        <v/>
      </c>
    </row>
    <row r="14">
      <c r="A14" s="167" t="inlineStr">
        <is>
          <t>Rank C</t>
        </is>
      </c>
      <c r="B14" s="119">
        <f>COUNTIF($A$9:$A$9,"C")</f>
        <v/>
      </c>
    </row>
    <row r="16">
      <c r="A16" s="185" t="inlineStr">
        <is>
          <t>Seen once (not ranked)</t>
        </is>
      </c>
    </row>
    <row r="17">
      <c r="B17" s="167" t="inlineStr">
        <is>
          <t>Salesforce</t>
        </is>
      </c>
      <c r="C17" s="167" t="inlineStr">
        <is>
          <t>CRM</t>
        </is>
      </c>
      <c r="D17" s="167" t="inlineStr">
        <is>
          <t>Salesforce</t>
        </is>
      </c>
    </row>
    <row r="18">
      <c r="B18" s="167" t="inlineStr">
        <is>
          <t>MuleSoft</t>
        </is>
      </c>
      <c r="C18" s="167" t="inlineStr">
        <is>
          <t>Integration</t>
        </is>
      </c>
      <c r="D18" s="167" t="inlineStr">
        <is>
          <t>Salesforce</t>
        </is>
      </c>
    </row>
    <row r="19">
      <c r="B19" s="167" t="inlineStr">
        <is>
          <t>Tableau</t>
        </is>
      </c>
      <c r="C19" s="167" t="inlineStr">
        <is>
          <t>Analytics and BI</t>
        </is>
      </c>
      <c r="D19" s="167" t="inlineStr">
        <is>
          <t>Tableau and analytics</t>
        </is>
      </c>
    </row>
    <row r="20">
      <c r="B20" s="167" t="inlineStr">
        <is>
          <t>SAP</t>
        </is>
      </c>
      <c r="C20" s="167" t="inlineStr">
        <is>
          <t>ERP</t>
        </is>
      </c>
      <c r="D20" s="167" t="inlineStr">
        <is>
          <t>SAP</t>
        </is>
      </c>
    </row>
    <row r="21">
      <c r="B21" s="167" t="inlineStr">
        <is>
          <t>ServiceNow</t>
        </is>
      </c>
      <c r="C21" s="167" t="inlineStr">
        <is>
          <t>IT service management</t>
        </is>
      </c>
      <c r="D21" s="167" t="inlineStr">
        <is>
          <t>ServiceNow</t>
        </is>
      </c>
    </row>
    <row r="22">
      <c r="B22" s="167" t="inlineStr">
        <is>
          <t>dbt</t>
        </is>
      </c>
      <c r="C22" s="167" t="inlineStr">
        <is>
          <t>Data transformation</t>
        </is>
      </c>
      <c r="D22" s="167" t="inlineStr">
        <is>
          <t>Data and AI</t>
        </is>
      </c>
    </row>
  </sheetData>
  <autoFilter ref="A8:J9"/>
  <mergeCells count="4">
    <mergeCell ref="A6:J6"/>
    <mergeCell ref="A5:J5"/>
    <mergeCell ref="A4:J4"/>
    <mergeCell ref="A3:J3"/>
  </mergeCells>
  <conditionalFormatting sqref="A9">
    <cfRule type="expression" priority="1" dxfId="0">
      <formula>$A9="A"</formula>
    </cfRule>
    <cfRule type="expression" priority="2" dxfId="1">
      <formula>$A9="B"</formula>
    </cfRule>
    <cfRule type="expression" priority="3" dxfId="2">
      <formula>$A9="C"</formula>
    </cfRule>
  </conditionalFormatting>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E5"/>
  <sheetViews>
    <sheetView workbookViewId="0">
      <pane ySplit="4" topLeftCell="A5" activePane="bottomLeft" state="frozen"/>
      <selection pane="bottomLeft" activeCell="A1" sqref="A1"/>
    </sheetView>
  </sheetViews>
  <sheetFormatPr baseColWidth="8" defaultRowHeight="15"/>
  <cols>
    <col width="26" customWidth="1" min="1" max="1"/>
    <col width="40" customWidth="1" min="2" max="2"/>
    <col width="34" customWidth="1" min="3" max="3"/>
    <col width="18" customWidth="1" min="4" max="4"/>
    <col width="26" customWidth="1" min="5" max="5"/>
  </cols>
  <sheetData>
    <row r="1" ht="18" customHeight="1">
      <c r="A1" s="3" t="inlineStr">
        <is>
          <t>Orion Systems: technologies seen in use, by business function and category</t>
        </is>
      </c>
    </row>
    <row r="2" ht="40" customHeight="1">
      <c r="A2" s="6" t="inlineStr">
        <is>
          <t>Pulled by 6th agents on 29 October 2026 from public job postings and team records. Postings naming it is the number of postings in which the technology was named as used. Out of scope platforms are masked and are not used in any finding.</t>
        </is>
      </c>
    </row>
    <row r="4">
      <c r="A4" s="1" t="inlineStr">
        <is>
          <t>Business function</t>
        </is>
      </c>
      <c r="B4" s="1" t="inlineStr">
        <is>
          <t>Category</t>
        </is>
      </c>
      <c r="C4" s="1" t="inlineStr">
        <is>
          <t>Technology</t>
        </is>
      </c>
      <c r="D4" s="1" t="inlineStr">
        <is>
          <t>Postings naming it</t>
        </is>
      </c>
      <c r="E4" s="1" t="inlineStr">
        <is>
          <t>Lane</t>
        </is>
      </c>
    </row>
    <row r="5">
      <c r="A5" s="4" t="inlineStr">
        <is>
          <t>None found. The coverage tracker records what was searched and with what result.</t>
        </is>
      </c>
    </row>
  </sheetData>
  <autoFilter ref="A4:E4"/>
  <mergeCells count="1">
    <mergeCell ref="A2:E2"/>
  </mergeCells>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H5"/>
  <sheetViews>
    <sheetView workbookViewId="0">
      <pane ySplit="4" topLeftCell="A5" activePane="bottomLeft" state="frozen"/>
      <selection pane="bottomLeft" activeCell="A1" sqref="A1"/>
    </sheetView>
  </sheetViews>
  <sheetFormatPr baseColWidth="8" defaultRowHeight="15"/>
  <cols>
    <col width="40" customWidth="1" min="1" max="1"/>
    <col width="30" customWidth="1" min="2" max="2"/>
    <col width="10" customWidth="1" min="3" max="3"/>
    <col width="12" customWidth="1" min="4" max="4"/>
    <col width="12" customWidth="1" min="5" max="5"/>
    <col width="70" customWidth="1" min="6" max="6"/>
    <col width="50" customWidth="1" min="7" max="7"/>
    <col width="40" customWidth="1" min="8" max="8"/>
  </cols>
  <sheetData>
    <row r="1" ht="18" customHeight="1">
      <c r="A1" s="3" t="inlineStr">
        <is>
          <t>Orion Systems: teams whose public records name a lane platform</t>
        </is>
      </c>
    </row>
    <row r="2" ht="40" customHeight="1">
      <c r="A2" s="6" t="inlineStr">
        <is>
          <t>Pulled by 6th agents. Team names are as the source records them (often a business unit or function rather than an IT team). Team technologies lists every technology the team's records name with its postings count. Team locations shows city and country with postings count.</t>
        </is>
      </c>
    </row>
    <row r="4" ht="28" customHeight="1">
      <c r="A4" s="1" t="inlineStr">
        <is>
          <t>Team</t>
        </is>
      </c>
      <c r="B4" s="1" t="inlineStr">
        <is>
          <t>Lane technologies named</t>
        </is>
      </c>
      <c r="C4" s="1" t="inlineStr">
        <is>
          <t>Postings count</t>
        </is>
      </c>
      <c r="D4" s="1" t="inlineStr">
        <is>
          <t>First activity</t>
        </is>
      </c>
      <c r="E4" s="1" t="inlineStr">
        <is>
          <t>Last activity</t>
        </is>
      </c>
      <c r="F4" s="1" t="inlineStr">
        <is>
          <t>Team technologies (name, postings)</t>
        </is>
      </c>
      <c r="G4" s="1" t="inlineStr">
        <is>
          <t>Team locations (place, postings)</t>
        </is>
      </c>
      <c r="H4" s="1" t="inlineStr">
        <is>
          <t>Job functions</t>
        </is>
      </c>
    </row>
    <row r="5">
      <c r="A5" s="4" t="inlineStr">
        <is>
          <t>None recorded. No team data was stored for this run.</t>
        </is>
      </c>
    </row>
  </sheetData>
  <mergeCells count="1">
    <mergeCell ref="A2:H2"/>
  </mergeCells>
  <pageMargins left="0.75" right="0.75" top="1" bottom="1" header="0.5" footer="0.5"/>
  <pageSetup orientation="landscape" paperSize="1" fitToHeight="0" fitToWidth="1"/>
</worksheet>
</file>

<file path=docProps/app.xml><?xml version="1.0" encoding="utf-8"?>
<Properties xmlns="http://schemas.openxmlformats.org/officeDocument/2006/extended-properties" xmlns:vt="http://schemas.openxmlformats.org/officeDocument/2006/docPropsVTypes">
  <Company>6th agents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Orion Systems Tech Stack and Teams</dc:title>
  <dc:creator>6th agents</dc:creator>
  <cp:lastModifiedBy>6th agents</cp:lastModifiedBy>
  <dcterms:created xsi:type="dcterms:W3CDTF">2026-10-29T00:00:00Z</dcterms:created>
  <dcterms:modified xsi:type="dcterms:W3CDTF">2026-10-29T00:00:00Z</dcterms:modified>
</cp:coreProperties>
</file>